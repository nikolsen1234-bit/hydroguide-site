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codeName="ThisWorkbook"/>
  <xr:revisionPtr revIDLastSave="0" documentId="13_ncr:1_{1FA3A73C-2AB9-4F9A-A06B-6167B8758DA4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Input" sheetId="12" r:id="rId1"/>
    <sheet name="Power Budget" sheetId="8" r:id="rId2"/>
    <sheet name="Results" sheetId="1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G35" i="13"/>
  <c r="G34" i="13"/>
  <c r="G33" i="13"/>
  <c r="G32" i="13"/>
  <c r="G31" i="13"/>
  <c r="G30" i="13"/>
  <c r="G28" i="13"/>
  <c r="G27" i="13"/>
  <c r="F38" i="13"/>
  <c r="G38" i="13" s="1"/>
  <c r="F37" i="13"/>
  <c r="G37" i="13" s="1"/>
  <c r="F36" i="13"/>
  <c r="G36" i="13" s="1"/>
  <c r="F35" i="13"/>
  <c r="F34" i="13"/>
  <c r="F33" i="13"/>
  <c r="F32" i="13"/>
  <c r="F31" i="13"/>
  <c r="F30" i="13"/>
  <c r="F29" i="13"/>
  <c r="G29" i="13" s="1"/>
  <c r="F28" i="13"/>
  <c r="F27" i="13"/>
  <c r="E38" i="13"/>
  <c r="E37" i="13"/>
  <c r="E36" i="13"/>
  <c r="E35" i="13"/>
  <c r="E34" i="13"/>
  <c r="E33" i="13"/>
  <c r="E32" i="13"/>
  <c r="E31" i="13"/>
  <c r="E30" i="13"/>
  <c r="E29" i="13"/>
  <c r="E28" i="13"/>
  <c r="E27" i="13"/>
  <c r="C12" i="13"/>
  <c r="B15" i="13"/>
  <c r="B14" i="13"/>
  <c r="B12" i="13"/>
  <c r="B10" i="13"/>
  <c r="A25" i="13"/>
  <c r="B8" i="13"/>
  <c r="B7" i="13"/>
  <c r="B6" i="13"/>
  <c r="B5" i="13"/>
  <c r="C20" i="12"/>
  <c r="C27" i="13"/>
  <c r="C28" i="13"/>
  <c r="C29" i="13"/>
  <c r="C30" i="13"/>
  <c r="C31" i="13"/>
  <c r="C32" i="13"/>
  <c r="C33" i="13"/>
  <c r="C34" i="13"/>
  <c r="C35" i="13"/>
  <c r="C36" i="13"/>
  <c r="C37" i="13"/>
  <c r="C38" i="13"/>
  <c r="D31" i="13"/>
  <c r="D18" i="8" l="1"/>
  <c r="D17" i="8"/>
  <c r="D16" i="8"/>
  <c r="D15" i="8"/>
  <c r="D14" i="8"/>
  <c r="D13" i="8"/>
  <c r="D12" i="8"/>
  <c r="D46" i="13"/>
  <c r="C46" i="13"/>
  <c r="B11" i="13"/>
  <c r="D11" i="8"/>
  <c r="D10" i="8"/>
  <c r="D9" i="8"/>
  <c r="D8" i="8"/>
  <c r="D7" i="8"/>
  <c r="D6" i="8"/>
  <c r="D5" i="8"/>
  <c r="D4" i="8"/>
  <c r="D3" i="8"/>
  <c r="F3" i="8" s="1"/>
  <c r="G6" i="8"/>
  <c r="D45" i="13" l="1"/>
  <c r="D43" i="13"/>
  <c r="C43" i="13"/>
  <c r="C45" i="13" l="1"/>
  <c r="C39" i="13" l="1"/>
  <c r="F5" i="8" l="1"/>
  <c r="H5" i="8" s="1"/>
  <c r="F6" i="8"/>
  <c r="H6" i="8" s="1"/>
  <c r="F7" i="8"/>
  <c r="H7" i="8" s="1"/>
  <c r="F8" i="8"/>
  <c r="H8" i="8" s="1"/>
  <c r="F9" i="8"/>
  <c r="H9" i="8" s="1"/>
  <c r="F10" i="8"/>
  <c r="H10" i="8" s="1"/>
  <c r="F11" i="8"/>
  <c r="H11" i="8" s="1"/>
  <c r="F12" i="8"/>
  <c r="H12" i="8" s="1"/>
  <c r="F4" i="8"/>
  <c r="H4" i="8" s="1"/>
  <c r="H3" i="8"/>
  <c r="F14" i="8" l="1"/>
  <c r="H14" i="8" s="1"/>
  <c r="F15" i="8"/>
  <c r="H15" i="8" s="1"/>
  <c r="F16" i="8"/>
  <c r="H16" i="8" s="1"/>
  <c r="F17" i="8"/>
  <c r="H17" i="8" s="1"/>
  <c r="F18" i="8"/>
  <c r="H18" i="8" s="1"/>
  <c r="E10" i="8"/>
  <c r="G10" i="8" s="1"/>
  <c r="E11" i="8"/>
  <c r="G11" i="8" s="1"/>
  <c r="E12" i="8"/>
  <c r="G12" i="8" s="1"/>
  <c r="E13" i="8"/>
  <c r="G13" i="8" s="1"/>
  <c r="E14" i="8"/>
  <c r="G14" i="8" s="1"/>
  <c r="E15" i="8"/>
  <c r="G15" i="8" s="1"/>
  <c r="E16" i="8"/>
  <c r="G16" i="8" s="1"/>
  <c r="E17" i="8"/>
  <c r="G17" i="8" s="1"/>
  <c r="E18" i="8"/>
  <c r="G18" i="8" s="1"/>
  <c r="D19" i="8" l="1"/>
  <c r="F13" i="8"/>
  <c r="H13" i="8" s="1"/>
  <c r="E3" i="8"/>
  <c r="G3" i="8" s="1"/>
  <c r="E4" i="8"/>
  <c r="G4" i="8" s="1"/>
  <c r="E5" i="8"/>
  <c r="G5" i="8" s="1"/>
  <c r="E6" i="8"/>
  <c r="E7" i="8"/>
  <c r="G7" i="8" s="1"/>
  <c r="E8" i="8"/>
  <c r="G8" i="8" s="1"/>
  <c r="E9" i="8"/>
  <c r="G9" i="8" s="1"/>
  <c r="C19" i="8"/>
  <c r="F19" i="8" l="1"/>
  <c r="G19" i="8"/>
  <c r="E19" i="8"/>
  <c r="D27" i="13" s="1"/>
  <c r="D36" i="13" l="1"/>
  <c r="D37" i="13"/>
  <c r="D29" i="13"/>
  <c r="D28" i="13"/>
  <c r="D32" i="13"/>
  <c r="D38" i="13"/>
  <c r="D35" i="13"/>
  <c r="D34" i="13"/>
  <c r="D30" i="13"/>
  <c r="D33" i="13"/>
  <c r="H19" i="8"/>
  <c r="C44" i="13" l="1" a="1"/>
  <c r="C44" i="13" s="1"/>
  <c r="C47" i="13" s="1" a="1"/>
  <c r="C47" i="13" s="1"/>
  <c r="D44" i="13" a="1"/>
  <c r="D44" i="13" s="1"/>
  <c r="D47" i="13" s="1" a="1"/>
  <c r="D47" i="13" s="1"/>
  <c r="D39" i="13"/>
  <c r="G39" i="13" l="1"/>
  <c r="F39" i="13"/>
  <c r="E39" i="13"/>
  <c r="B1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5" authorId="0" shapeId="0" xr:uid="{649D01DF-6990-42BE-9EB6-8ADEDAD9BF56}">
      <text>
        <r>
          <rPr>
            <b/>
            <sz val="9"/>
            <color indexed="81"/>
            <rFont val="Tahoma"/>
            <family val="2"/>
          </rPr>
          <t>Author:
Check coverage on Telenor coverage map (telenor.no/dekning). Yes = enables 4G-based communication and remote control.</t>
        </r>
      </text>
    </comment>
    <comment ref="B6" authorId="0" shapeId="0" xr:uid="{2B992351-AB90-4460-8C2E-0A481B6F2F7E}">
      <text>
        <r>
          <rPr>
            <b/>
            <sz val="9"/>
            <color indexed="81"/>
            <rFont val="Tahoma"/>
            <family val="2"/>
          </rPr>
          <t>Author:
NB-IoT has better indoor coverage than 4G, but lower speed.</t>
        </r>
      </text>
    </comment>
    <comment ref="B7" authorId="0" shapeId="0" xr:uid="{1A53E6EF-A94D-477A-8779-514BA4256C3F}">
      <text>
        <r>
          <rPr>
            <b/>
            <sz val="9"/>
            <color indexed="81"/>
            <rFont val="Tahoma"/>
            <family val="2"/>
          </rPr>
          <t>Author:
Line of sight to gateway/base station within 15 km enables LoRaWAN.</t>
        </r>
      </text>
    </comment>
    <comment ref="B8" authorId="0" shapeId="0" xr:uid="{C3FE0E9A-F9C7-43D9-9D7A-4911CDC379A2}">
      <text>
        <r>
          <rPr>
            <b/>
            <sz val="9"/>
            <color indexed="81"/>
            <rFont val="Tahoma"/>
            <family val="2"/>
          </rPr>
          <t>Author:
Two-way control requires 4G or satellite connection.</t>
        </r>
      </text>
    </comment>
    <comment ref="B10" authorId="0" shapeId="0" xr:uid="{CF3A20BE-8BCE-4E05-BC5E-6726D297638F}">
      <text>
        <r>
          <rPr>
            <b/>
            <sz val="9"/>
            <color indexed="81"/>
            <rFont val="Tahoma"/>
            <family val="2"/>
          </rPr>
          <t>Author:
Choose between: Pipe via intake, Pipe through dam, Gate/bottom valve, Notch in dam (V-profile).</t>
        </r>
      </text>
    </comment>
    <comment ref="B11" authorId="0" shapeId="0" xr:uid="{7AA6FD9B-BECC-42C0-8D87-0609BFF22631}">
      <text>
        <r>
          <rPr>
            <b/>
            <sz val="9"/>
            <color indexed="81"/>
            <rFont val="Tahoma"/>
            <family val="2"/>
          </rPr>
          <t>Author:
Yes = additional requirements for attraction water and up-/downstream migration (NVE Ch. 5).</t>
        </r>
      </text>
    </comment>
    <comment ref="B12" authorId="0" shapeId="0" xr:uid="{29D64C11-071A-4155-A43A-B4A14EC0B71C}">
      <text>
        <r>
          <rPr>
            <b/>
            <sz val="9"/>
            <color indexed="81"/>
            <rFont val="Tahoma"/>
            <family val="2"/>
          </rPr>
          <t>Author:
Specify minimum flow in l/s as stated in the concession.</t>
        </r>
      </text>
    </comment>
    <comment ref="B13" authorId="0" shapeId="0" xr:uid="{C322561B-870D-4507-9DF8-24CA27323F80}">
      <text>
        <r>
          <rPr>
            <b/>
            <sz val="9"/>
            <color indexed="81"/>
            <rFont val="Tahoma"/>
            <family val="2"/>
          </rPr>
          <t>Author:
Yes = electromagnetic flow meter works poorly, use ultrasound or orifice plate.</t>
        </r>
      </text>
    </comment>
    <comment ref="B14" authorId="0" shapeId="0" xr:uid="{22ABB044-5BA6-4ACF-9F8D-DC81408FB8CC}">
      <text>
        <r>
          <rPr>
            <b/>
            <sz val="9"/>
            <color indexed="81"/>
            <rFont val="Tahoma"/>
            <family val="2"/>
          </rPr>
          <t>Author:
Yes = bubble tube or pressure cell recommended. Affects sensor selection and possible ice reduction.</t>
        </r>
      </text>
    </comment>
    <comment ref="B19" authorId="0" shapeId="0" xr:uid="{7BFF44F0-28BA-4B10-90B2-77DB4908E55B}">
      <text>
        <r>
          <rPr>
            <b/>
            <sz val="9"/>
            <color indexed="81"/>
            <rFont val="Tahoma"/>
            <family val="2"/>
          </rPr>
          <t>Author:
NVE requires min. 1 main inspection/year. ≤4 = 2 loggers.</t>
        </r>
      </text>
    </comment>
    <comment ref="B21" authorId="0" shapeId="0" xr:uid="{4CA2C204-F9AD-484E-9FC5-E11C6EC8D265}">
      <text>
        <r>
          <rPr>
            <b/>
            <sz val="9"/>
            <color indexed="81"/>
            <rFont val="Tahoma"/>
            <family val="2"/>
          </rPr>
          <t>Author:
Yes = fuel cell (methanol) as secondary source. Higher fuel cost than diesel.</t>
        </r>
      </text>
    </comment>
    <comment ref="C33" authorId="0" shapeId="0" xr:uid="{BEBC4D4C-D308-4626-BE79-BA43467BD043}">
      <text>
        <r>
          <rPr>
            <b/>
            <sz val="9"/>
            <color indexed="81"/>
            <rFont val="Tahoma"/>
            <family val="2"/>
          </rPr>
          <t>Author:
Total system efficiency incl. losses in cables, MPPT, temperature and shading. Typically 75–85%.</t>
        </r>
      </text>
    </comment>
    <comment ref="B39" authorId="0" shapeId="0" xr:uid="{BEE41E65-4B0F-4161-A835-9030F4CAF06A}">
      <text>
        <r>
          <rPr>
            <b/>
            <sz val="9"/>
            <color indexed="81"/>
            <rFont val="Tahoma"/>
            <family val="2"/>
          </rPr>
          <t>Author:
Specified as decimal: 0.8 = 80%. LiFePO4 typically tolerates 0.8–0.9.</t>
        </r>
      </text>
    </comment>
    <comment ref="C45" authorId="0" shapeId="0" xr:uid="{62A2537C-7E45-4199-93EE-EA5287B4EBE7}">
      <text>
        <r>
          <rPr>
            <b/>
            <sz val="9"/>
            <color indexed="81"/>
            <rFont val="Tahoma"/>
            <family val="2"/>
          </rPr>
          <t>Author:
EFOY Pro 1800 average power. Source: SFC Energy datasheet.</t>
        </r>
      </text>
    </comment>
    <comment ref="C48" authorId="0" shapeId="0" xr:uid="{0F124BED-5DAF-4FB9-8880-D7C94BEA0B7B}">
      <text>
        <r>
          <rPr>
            <b/>
            <sz val="9"/>
            <color indexed="81"/>
            <rFont val="Tahoma"/>
            <family val="2"/>
          </rPr>
          <t>Author:
EFOY Pro 1800 typical lifespan. Source: SFC Energy datasheet.</t>
        </r>
      </text>
    </comment>
    <comment ref="C60" authorId="0" shapeId="0" xr:uid="{F44D1B0E-1D19-45EC-B1B9-54660F909D95}">
      <text>
        <r>
          <rPr>
            <b/>
            <sz val="9"/>
            <color indexed="81"/>
            <rFont val="Tahoma"/>
            <family val="2"/>
          </rPr>
          <t>Author:
Stoichiometric: (44/32) × 0.791 kg/l. Source: Methanol Institute, 2022</t>
        </r>
      </text>
    </comment>
    <comment ref="C61" authorId="0" shapeId="0" xr:uid="{5D43EDCC-B094-4A67-BC11-F61400245114}">
      <text>
        <r>
          <rPr>
            <b/>
            <sz val="9"/>
            <color indexed="81"/>
            <rFont val="Tahoma"/>
            <family val="2"/>
          </rPr>
          <t>Author:
Source: ADEME / GHG Protocol / IPCC standard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20E53DCC-9250-4F0E-B821-15A3363FDC30}">
      <text>
        <r>
          <rPr>
            <b/>
            <sz val="9"/>
            <color indexed="81"/>
            <rFont val="Tahoma"/>
            <family val="2"/>
          </rPr>
          <t>Author:
Use 1 for ON and 0 for OFF. Numeric values (not TRUE/FALSE) ensure compatibility across Office language settings.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9" authorId="0" shapeId="0" xr:uid="{2803909B-4A1F-46EE-AEB9-FEBC43FA19C2}">
      <text>
        <r>
          <rPr>
            <b/>
            <sz val="9"/>
            <color indexed="81"/>
            <rFont val="Tahoma"/>
            <family val="2"/>
          </rPr>
          <t>Recommended secondary source.
≤ 3 inspections/year or desired zero-emission → fuel cell (methanol).
Otherwise → diesel generator.</t>
        </r>
      </text>
    </comment>
    <comment ref="B10" authorId="0" shapeId="0" xr:uid="{ACB7311F-56B4-4BA1-BFDD-B73B08FCE7F1}">
      <text>
        <r>
          <rPr>
            <b/>
            <sz val="9"/>
            <color indexed="81"/>
            <rFont val="Tahoma"/>
            <family val="2"/>
          </rPr>
          <t>Power (W) for recommended secondary source.
Diesel generator: from Input Data C53.
Fuel cell: from Input Data C45.</t>
        </r>
      </text>
    </comment>
    <comment ref="B11" authorId="0" shapeId="0" xr:uid="{AADFBADD-02DC-4933-A456-29BDCB2DAEA6}">
      <text>
        <r>
          <rPr>
            <b/>
            <sz val="9"/>
            <color indexed="81"/>
            <rFont val="Tahoma"/>
            <family val="2"/>
          </rPr>
          <t>Number of solar panels from Input Data.
Panel area: quantity × 0.993 m²/panel.</t>
        </r>
      </text>
    </comment>
    <comment ref="B12" authorId="0" shapeId="0" xr:uid="{4E5E92D5-A5C9-4A11-AC56-1388EB1C3C49}">
      <text>
        <r>
          <rPr>
            <b/>
            <sz val="9"/>
            <color indexed="81"/>
            <rFont val="Tahoma"/>
            <family val="2"/>
          </rPr>
          <t>Sized so the battery covers the power requirement for the desired number of autonomy days (without sun), adjusted for depth of discharge (DoD).</t>
        </r>
      </text>
    </comment>
    <comment ref="B13" authorId="0" shapeId="0" xr:uid="{4E964084-B198-475B-AB1B-1F8D41540304}">
      <text>
        <r>
          <rPr>
            <b/>
            <sz val="9"/>
            <color indexed="81"/>
            <rFont val="Tahoma"/>
            <family val="2"/>
          </rPr>
          <t>Summed annual fuel consumption from the energy balance.
Only months with negative energy surplus contribute.</t>
        </r>
      </text>
    </comment>
    <comment ref="A23" authorId="0" shapeId="0" xr:uid="{1229FF9C-B0C3-4867-B7EB-ABA5C54250F9}">
      <text>
        <r>
          <rPr>
            <b/>
            <sz val="9"/>
            <color indexed="81"/>
            <rFont val="Tahoma"/>
            <family val="2"/>
          </rPr>
          <t>Author:
Source: NVE, https://publikasjoner.nve.no/veileder/2020/veileder2020_03.pdf</t>
        </r>
      </text>
    </comment>
    <comment ref="C26" authorId="0" shapeId="0" xr:uid="{F1E2061C-E1D0-40EF-B8E1-8186361039A6}">
      <text>
        <r>
          <rPr>
            <b/>
            <sz val="9"/>
            <color indexed="81"/>
            <rFont val="Tahoma"/>
            <family val="2"/>
          </rPr>
          <t>Author:
Monthly solar panel production.
Solar radiation (from ArcGIS Pro in Input Data) × panel power × number of panels.</t>
        </r>
      </text>
    </comment>
    <comment ref="D26" authorId="0" shapeId="0" xr:uid="{9B9BDC83-50EE-4A0F-A68E-B22C48D27F93}">
      <text>
        <r>
          <rPr>
            <b/>
            <sz val="9"/>
            <color indexed="81"/>
            <rFont val="Tahoma"/>
            <family val="2"/>
          </rPr>
          <t>Author:
Production minus consumption.
Negative = deficit that must be covered by secondary source.</t>
        </r>
      </text>
    </comment>
    <comment ref="E26" authorId="0" shapeId="0" xr:uid="{591F99A9-D547-4BF4-BF11-88C31A9ED243}">
      <text>
        <r>
          <rPr>
            <b/>
            <sz val="9"/>
            <color indexed="81"/>
            <rFont val="Tahoma"/>
            <family val="2"/>
          </rPr>
          <t>Hours the secondary source must run to cover the deficit.
Deficit (kWh) / secondary source power (kW).</t>
        </r>
      </text>
    </comment>
    <comment ref="F26" authorId="0" shapeId="0" xr:uid="{DCB599B0-7844-48C6-A511-C5B6DE1243CF}">
      <text>
        <r>
          <rPr>
            <b/>
            <sz val="9"/>
            <color indexed="81"/>
            <rFont val="Tahoma"/>
            <family val="2"/>
          </rPr>
          <t>Liters of fuel (diesel or methanol) per month.
Deficit (kWh) × consumption rate (l/kWh).</t>
        </r>
      </text>
    </comment>
    <comment ref="G26" authorId="0" shapeId="0" xr:uid="{2D16D96F-B622-4D18-AF27-A43E8391933F}">
      <text>
        <r>
          <rPr>
            <b/>
            <sz val="9"/>
            <color indexed="81"/>
            <rFont val="Tahoma"/>
            <family val="2"/>
          </rPr>
          <t>Author:
Monthly fuel cost.
Fuel (l) × price per liter for selected fuel type.</t>
        </r>
      </text>
    </comment>
    <comment ref="C42" authorId="0" shapeId="0" xr:uid="{D895817F-4134-4A94-9C6E-7E9814718601}">
      <text>
        <r>
          <rPr>
            <b/>
            <sz val="9"/>
            <color indexed="81"/>
            <rFont val="Tahoma"/>
            <family val="2"/>
          </rPr>
          <t>Author:
Total cost for methanol fuel cell (EFOY type).
Operating cost calculated independently of recommended source.</t>
        </r>
      </text>
    </comment>
    <comment ref="D42" authorId="0" shapeId="0" xr:uid="{B0AA8313-4922-407A-AC39-BA515C51A111}">
      <text>
        <r>
          <rPr>
            <b/>
            <sz val="9"/>
            <color indexed="81"/>
            <rFont val="Tahoma"/>
            <family val="2"/>
          </rPr>
          <t>Author:
Total cost for diesel generator.
★ = recommended secondary source based on inspection frequency and user selection.</t>
        </r>
      </text>
    </comment>
    <comment ref="C44" authorId="0" shapeId="0" xr:uid="{E47716C5-3F48-447B-A89E-0BFBF50998E9}">
      <text>
        <r>
          <rPr>
            <b/>
            <sz val="9"/>
            <color indexed="81"/>
            <rFont val="Tahoma"/>
            <family val="2"/>
          </rPr>
          <t>Annual methanol fuel cost.
Summed energy deficit × consumption rate × price per liter.</t>
        </r>
      </text>
    </comment>
    <comment ref="D44" authorId="0" shapeId="0" xr:uid="{9F17CC4B-33EA-48A4-9586-222F7330C4C6}">
      <text>
        <r>
          <rPr>
            <b/>
            <sz val="9"/>
            <color indexed="81"/>
            <rFont val="Tahoma"/>
            <family val="2"/>
          </rPr>
          <t>Annual diesel fuel cost.
Summed energy deficit × consumption rate × price per liter.</t>
        </r>
      </text>
    </comment>
    <comment ref="C45" authorId="0" shapeId="0" xr:uid="{D9A9D978-275B-481F-AF4F-37AB583C8214}">
      <text>
        <r>
          <rPr>
            <b/>
            <sz val="9"/>
            <color indexed="81"/>
            <rFont val="Tahoma"/>
            <family val="2"/>
          </rPr>
          <t>Author:
Annual maintenance cost for fuel cell, from Input Data.</t>
        </r>
      </text>
    </comment>
    <comment ref="D45" authorId="0" shapeId="0" xr:uid="{E9176287-1962-4613-BB3B-4A946DACBFEB}">
      <text>
        <r>
          <rPr>
            <b/>
            <sz val="9"/>
            <color indexed="81"/>
            <rFont val="Tahoma"/>
            <family val="2"/>
          </rPr>
          <t>Annual diesel maintenance cost, from Input Data.</t>
        </r>
      </text>
    </comment>
    <comment ref="C46" authorId="0" shapeId="0" xr:uid="{22C51649-D164-4731-8D81-8A4A83C289EE}">
      <text>
        <r>
          <rPr>
            <b/>
            <sz val="9"/>
            <color indexed="81"/>
            <rFont val="Tahoma"/>
            <family val="2"/>
          </rPr>
          <t>From Input Data – common time horizon for comparison.</t>
        </r>
      </text>
    </comment>
    <comment ref="D46" authorId="0" shapeId="0" xr:uid="{E324B9C4-0240-4C71-BF76-D4C890F73505}">
      <text>
        <r>
          <rPr>
            <b/>
            <sz val="9"/>
            <color indexed="81"/>
            <rFont val="Tahoma"/>
            <family val="2"/>
          </rPr>
          <t>Diesel lifespan in years = operating hours / (annual energy demand from secondary source / diesel power).
Uses diesel generator power (Input Data C55), not fuel cell power.</t>
        </r>
      </text>
    </comment>
    <comment ref="C47" authorId="0" shapeId="0" xr:uid="{594482A8-1EAE-403B-9B88-1F9E9A04BDE8}">
      <text>
        <r>
          <rPr>
            <b/>
            <sz val="9"/>
            <color indexed="81"/>
            <rFont val="Tahoma"/>
            <family val="2"/>
          </rPr>
          <t>TCO = Purchase + Horizon × Annual Cost + replacement purchases.
Fuel cell lifespan = Input Data C48 / own operating hours (independent of B9).</t>
        </r>
      </text>
    </comment>
    <comment ref="D47" authorId="0" shapeId="0" xr:uid="{E49EB31F-9C6E-4CBE-88D0-8250AFF902C5}">
      <text>
        <r>
          <rPr>
            <b/>
            <sz val="9"/>
            <color indexed="81"/>
            <rFont val="Tahoma"/>
            <family val="2"/>
          </rPr>
          <t>TCO = Purchase + Horizon × Annual Cost + replacement purchases.
Diesel lifespan = Input Data C56 / own operating hours (independent of B9).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<sst xmlns="http://schemas.openxmlformats.org/spreadsheetml/2006/main" count="290" uniqueCount="194">
  <si>
    <t>±5 %</t>
  </si>
  <si>
    <t>Jan</t>
  </si>
  <si>
    <t>Feb</t>
  </si>
  <si>
    <t>Mar</t>
  </si>
  <si>
    <t>Apr</t>
  </si>
  <si>
    <t>Jun</t>
  </si>
  <si>
    <t>Jul</t>
  </si>
  <si>
    <t>Aug</t>
  </si>
  <si>
    <t>Sep</t>
  </si>
  <si>
    <t>Nov</t>
  </si>
  <si>
    <t>SUM</t>
  </si>
  <si>
    <t>Parameter</t>
  </si>
  <si>
    <t>Victron BMS</t>
  </si>
  <si>
    <t>VICTRON Orion TR Omformer DC-DC 12&gt;24V 10A</t>
  </si>
  <si>
    <t>Victron Cerbo GX - MK2</t>
  </si>
  <si>
    <t>VICTRON SmartSolar MPPT 250/100-TR VE.Can</t>
  </si>
  <si>
    <t>Total</t>
  </si>
  <si>
    <t>Logger</t>
  </si>
  <si>
    <t>Efoy Fuel Manager FM4</t>
  </si>
  <si>
    <t>Datalogger</t>
  </si>
  <si>
    <t>VICTRON Lynx Distributor</t>
  </si>
  <si>
    <t>Siemens FMS5020</t>
  </si>
  <si>
    <t xml:space="preserve"> Teltonika RUT956</t>
  </si>
  <si>
    <t>Efoy Pro 1800</t>
  </si>
  <si>
    <t>kr</t>
  </si>
  <si>
    <t>Wp</t>
  </si>
  <si>
    <t>V</t>
  </si>
  <si>
    <t>W</t>
  </si>
  <si>
    <t>kr/l</t>
  </si>
  <si>
    <t>kg CO₂/l</t>
  </si>
  <si>
    <t>ADEME / IPCC standard</t>
  </si>
  <si>
    <t>%</t>
  </si>
  <si>
    <t>LiFePO4: ~3000–6000, AGM: ~500–1200</t>
  </si>
  <si>
    <t>kWh/m²</t>
  </si>
  <si>
    <t>RECOMMENDATION – Results and Energy Balance</t>
  </si>
  <si>
    <t>Updated automatically from Input Data and Power Budget. Guidance – not definitive.</t>
  </si>
  <si>
    <t>Recommended Configuration</t>
  </si>
  <si>
    <t>Unit</t>
  </si>
  <si>
    <t>Comment</t>
  </si>
  <si>
    <t>Measurement Method</t>
  </si>
  <si>
    <t>Communication</t>
  </si>
  <si>
    <t>Energy Monitoring</t>
  </si>
  <si>
    <t>Secondary Source</t>
  </si>
  <si>
    <t>Secondary Source Power</t>
  </si>
  <si>
    <t>Solar Panel (number of panels)</t>
  </si>
  <si>
    <t>Battery (Ah)</t>
  </si>
  <si>
    <t>Fuel Consumption (l/yr)</t>
  </si>
  <si>
    <t>Ice Adaptation</t>
  </si>
  <si>
    <t>Operational Requirements</t>
  </si>
  <si>
    <t>Select flow meter per recommended method</t>
  </si>
  <si>
    <t>Select modem/gateway based on coverage</t>
  </si>
  <si>
    <t>See NVE requirements for specification</t>
  </si>
  <si>
    <t>Optional – requires 4G</t>
  </si>
  <si>
    <t>Contact supplier</t>
  </si>
  <si>
    <t>Select panel based on available area</t>
  </si>
  <si>
    <t>Calculated from energy balance</t>
  </si>
  <si>
    <t>NVE REQUIREMENTS (Guidelines for Hydrological Investigations)</t>
  </si>
  <si>
    <t>Value</t>
  </si>
  <si>
    <t>Source</t>
  </si>
  <si>
    <t>Measurement Frequency</t>
  </si>
  <si>
    <t>Accuracy</t>
  </si>
  <si>
    <t>Data Availability</t>
  </si>
  <si>
    <t>Data Loggers and Water Level Sensor</t>
  </si>
  <si>
    <t>Control Measurement</t>
  </si>
  <si>
    <t>Min. 1 time/hour</t>
  </si>
  <si>
    <t>Min. 97 % of the year</t>
  </si>
  <si>
    <t>2 pcs (each)</t>
  </si>
  <si>
    <t>Every 3rd year</t>
  </si>
  <si>
    <t>NVE requirement, determined by concession.</t>
  </si>
  <si>
    <t>NVE requirement</t>
  </si>
  <si>
    <t>NVE recommendation</t>
  </si>
  <si>
    <t>NVE requirement – calibration</t>
  </si>
  <si>
    <t>Source: NVE Guide 3/2020 + Guidelines for Hydrological Investigations</t>
  </si>
  <si>
    <t>Month</t>
  </si>
  <si>
    <t>Days</t>
  </si>
  <si>
    <t>Solar Panel Production (kWh)</t>
  </si>
  <si>
    <t>Energy Balance (kWh)</t>
  </si>
  <si>
    <t>Operating Time (h)</t>
  </si>
  <si>
    <t>Fuel (l)</t>
  </si>
  <si>
    <t>Fuel Cost (kr)</t>
  </si>
  <si>
    <t>May</t>
  </si>
  <si>
    <t>Oct</t>
  </si>
  <si>
    <t>Dec</t>
  </si>
  <si>
    <t>Economics – Total Cost of Ownership (TCO)</t>
  </si>
  <si>
    <t>Fuel Cell (methanol)</t>
  </si>
  <si>
    <t>Purchase</t>
  </si>
  <si>
    <t>Operating Cost/yr</t>
  </si>
  <si>
    <t>Maintenance/yr</t>
  </si>
  <si>
    <t>Assessment Horizon</t>
  </si>
  <si>
    <t>TCO</t>
  </si>
  <si>
    <t>kr/yr</t>
  </si>
  <si>
    <t>yr</t>
  </si>
  <si>
    <t>Purchase price from supplier</t>
  </si>
  <si>
    <t>Fuel cost from energy balance</t>
  </si>
  <si>
    <t>Annual maintenance from Input Data</t>
  </si>
  <si>
    <t>Common time horizon from Input Data</t>
  </si>
  <si>
    <t>Purchase + Horizon × (Operating + Maintenance) + possible replacement</t>
  </si>
  <si>
    <t>Diesel Generator</t>
  </si>
  <si>
    <t>INPUT DATA – Configuration and Parameters</t>
  </si>
  <si>
    <t>Fill in blue fields. Guidance for solution choices, not definitive.</t>
  </si>
  <si>
    <t>QUESTIONS</t>
  </si>
  <si>
    <t>ANSWERS</t>
  </si>
  <si>
    <t>GUIDANCE</t>
  </si>
  <si>
    <t>1. LOCAL CONDITIONS – Communication</t>
  </si>
  <si>
    <t>4G coverage at location?</t>
  </si>
  <si>
    <t>NB-IoT coverage at location?</t>
  </si>
  <si>
    <t>Line of sight &lt; 15 km to base station?</t>
  </si>
  <si>
    <t>Two-way control required (remote-controlled valve)?</t>
  </si>
  <si>
    <t>2. FACILITY TYPE &amp; RELEASE METHOD (NVE Ch. 3–5)</t>
  </si>
  <si>
    <t>Release method (arrangement)?</t>
  </si>
  <si>
    <t>Fish passage at intake?</t>
  </si>
  <si>
    <t>Required minimum flow (l/s)?</t>
  </si>
  <si>
    <t>Low conductivity in water?</t>
  </si>
  <si>
    <t>Ice problems at measurement site?</t>
  </si>
  <si>
    <t>Difficult access to intake?</t>
  </si>
  <si>
    <t>Linear flow at intended measurement site?</t>
  </si>
  <si>
    <t>Sediment or surge problem?</t>
  </si>
  <si>
    <t>3. OPERATIONS – Inspections &amp; Autonomy</t>
  </si>
  <si>
    <t>Number of inspections/visits per year?</t>
  </si>
  <si>
    <t>Battery bank size (Ah)</t>
  </si>
  <si>
    <t>Desired zero-emission (methanol)?</t>
  </si>
  <si>
    <t>Check Telenor coverage map</t>
  </si>
  <si>
    <t>Use a line-of-sight calculator, NKOM.no has a free web solution.</t>
  </si>
  <si>
    <t>Two-way = requires 4G or satellite</t>
  </si>
  <si>
    <t>Concession terms determine release method and measurement technique</t>
  </si>
  <si>
    <t>NVE Guide 3/2020 Ch. 3–5. Incl. Coanda screens (Ch. 5.4)</t>
  </si>
  <si>
    <t>NVE Ch. 5: Extra attraction water + up-/downstream migration</t>
  </si>
  <si>
    <t>Specified in the concession (m³/s or l/s)</t>
  </si>
  <si>
    <t>Pipe only: Yes = ultrasound, No = electromagnetic</t>
  </si>
  <si>
    <t>NVE: Ice/sediment affects measurement profile and sensor selection</t>
  </si>
  <si>
    <t>NVE Ch. 9: Affects logger backup and camera requirements</t>
  </si>
  <si>
    <t>Pipe only: Air affects Doppler/ultrasound. Requires straight run.</t>
  </si>
  <si>
    <t>Yes = bubble tube recommended over pressure cell</t>
  </si>
  <si>
    <t>Determines logger redundancy and secondary source</t>
  </si>
  <si>
    <t>NVE: min. annual main inspection. ≤4 = 2 loggers. Must be a value between 3–30 days</t>
  </si>
  <si>
    <t>Yes = fuel cell, No = visit frequency determines diesel/methanol</t>
  </si>
  <si>
    <t>TECHNICAL PARAMETERS</t>
  </si>
  <si>
    <t>Solar Panel System</t>
  </si>
  <si>
    <t>PV panel power</t>
  </si>
  <si>
    <t>Number of panels</t>
  </si>
  <si>
    <t>System efficiency</t>
  </si>
  <si>
    <t>Expected lifespan in years</t>
  </si>
  <si>
    <t>pcs</t>
  </si>
  <si>
    <t>From the datasheet for selected panel</t>
  </si>
  <si>
    <t>The configurator calculates this</t>
  </si>
  <si>
    <t>Total system loss incl. cables, inverter, temperature. Typically 75–85%.</t>
  </si>
  <si>
    <t>Expected lifespan for PV panels</t>
  </si>
  <si>
    <t>Battery Bank</t>
  </si>
  <si>
    <t>Nominal voltage</t>
  </si>
  <si>
    <t>Max depth of discharge (DoD)</t>
  </si>
  <si>
    <t>Cycle lifespan</t>
  </si>
  <si>
    <t>factor (0–1)</t>
  </si>
  <si>
    <t>cycles</t>
  </si>
  <si>
    <t>System nominal voltage (12V or 24V)</t>
  </si>
  <si>
    <t>LiFePO4: 80–90%, Lead-acid: 50%</t>
  </si>
  <si>
    <t>Fuel Cell</t>
  </si>
  <si>
    <t>Purchase cost</t>
  </si>
  <si>
    <t>Power</t>
  </si>
  <si>
    <t>Fuel consumption</t>
  </si>
  <si>
    <t>Fuel price (methanol)</t>
  </si>
  <si>
    <t>Lifespan</t>
  </si>
  <si>
    <t>Annual maintenance cost</t>
  </si>
  <si>
    <t>l/kWh</t>
  </si>
  <si>
    <t>hours</t>
  </si>
  <si>
    <t>Purchase price excl./incl. VAT per supplier</t>
  </si>
  <si>
    <t>Nominal power from datasheet (W)</t>
  </si>
  <si>
    <t>Methanol fuel consumption per kWh produced</t>
  </si>
  <si>
    <t>Market price methanol per liter</t>
  </si>
  <si>
    <t>Expected lifespan in operating hours</t>
  </si>
  <si>
    <t>Annual service/maintenance fuel cell</t>
  </si>
  <si>
    <t>Fuel price (diesel)</t>
  </si>
  <si>
    <t>Diesel fuel consumption per kWh produced</t>
  </si>
  <si>
    <t>Market price diesel per liter</t>
  </si>
  <si>
    <t>Incl. oil change, filter, service</t>
  </si>
  <si>
    <t>Other Settings</t>
  </si>
  <si>
    <t>CO₂ factor methanol</t>
  </si>
  <si>
    <t>CO₂ factor diesel</t>
  </si>
  <si>
    <t>Assessment horizon</t>
  </si>
  <si>
    <t>44/32 × density 0.791</t>
  </si>
  <si>
    <t>Number of years for TCO comparison. Typically 1–10 years.</t>
  </si>
  <si>
    <t>Solar Radiation – Monthly</t>
  </si>
  <si>
    <t>Solar Radiation (kWh/m²)</t>
  </si>
  <si>
    <t>Enter expected solar radiation at location. Use PVGIS for an estimate.</t>
  </si>
  <si>
    <t>Power Budget – Equipment List</t>
  </si>
  <si>
    <t>Power (W)</t>
  </si>
  <si>
    <t>Current Draw (A)</t>
  </si>
  <si>
    <t>Consumption (Wh/day)</t>
  </si>
  <si>
    <t>Current Draw (Ah/day)</t>
  </si>
  <si>
    <t>Consumption (Wh/week)</t>
  </si>
  <si>
    <t>Current Draw (Ah/week)</t>
  </si>
  <si>
    <t>ON/OFF</t>
  </si>
  <si>
    <t>No</t>
  </si>
  <si>
    <t>Pipe via intake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</si>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</sst>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-&quot;kr&quot;\ * #,##0.00_-;\-&quot;kr&quot;\ * #,##0.00_-;_-&quot;kr&quot;\ * &quot;-&quot;??_-;_-@_-"/>
    <numFmt numFmtId="165" formatCode="0.0"/>
    <numFmt numFmtId="166" formatCode="#,##0.0"/>
    <numFmt numFmtId="167" formatCode="0.000"/>
  </numFmts>
  <fonts count="3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9"/>
      <color rgb="FF808080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rgb="FF2F5496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i/>
      <sz val="10"/>
      <color rgb="FFA0A0A0"/>
      <name val="Aptos Narrow"/>
      <family val="2"/>
      <scheme val="minor"/>
    </font>
    <font>
      <b/>
      <sz val="10"/>
      <color rgb="FF2F5496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sz val="10"/>
      <color rgb="FF000000"/>
      <name val="Aptos Narrow"/>
      <family val="2"/>
      <scheme val="minor"/>
    </font>
    <font>
      <i/>
      <sz val="9"/>
      <color rgb="FF808080"/>
      <name val="Aptos Narrow"/>
      <family val="2"/>
      <scheme val="minor"/>
    </font>
    <font>
      <b/>
      <sz val="9"/>
      <color indexed="81"/>
      <name val="Tahoma"/>
      <family val="2"/>
    </font>
    <font>
      <sz val="10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i/>
      <sz val="8"/>
      <color rgb="FFA0A0A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rgb="FF808080"/>
      <name val="Aptos Narrow"/>
      <family val="2"/>
      <scheme val="minor"/>
    </font>
    <font>
      <sz val="1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i/>
      <sz val="10"/>
      <color rgb="FF2F5496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b/>
      <sz val="10"/>
      <color rgb="FF2F5496"/>
      <name val="Aptos Narrow"/>
      <family val="2"/>
      <scheme val="minor"/>
    </font>
    <font>
      <sz val="10"/>
      <color rgb="FF000000"/>
      <name val="Aptos Narrow"/>
      <family val="2"/>
      <scheme val="minor"/>
    </font>
    <font>
      <i/>
      <sz val="9"/>
      <color rgb="FF808080"/>
      <name val="Aptos Narrow"/>
      <family val="2"/>
      <scheme val="minor"/>
    </font>
    <font>
      <b/>
      <i/>
      <sz val="10"/>
      <color theme="1" tint="4.9989318521683403E-2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99"/>
      </patternFill>
    </fill>
    <fill>
      <patternFill patternType="solid">
        <fgColor theme="7" tint="0.59999389629810485"/>
        <bgColor indexed="65"/>
      </patternFill>
    </fill>
    <fill>
      <patternFill patternType="solid">
        <fgColor rgb="FF2F5496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7F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AEDFB"/>
        <bgColor indexed="64"/>
      </patternFill>
    </fill>
  </fills>
  <borders count="5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2F5496"/>
      </right>
      <top style="thin">
        <color rgb="FF2F5496"/>
      </top>
      <bottom/>
      <diagonal/>
    </border>
    <border>
      <left style="thin">
        <color rgb="FFE8E8E8"/>
      </left>
      <right style="thin">
        <color rgb="FFE8E8E8"/>
      </right>
      <top style="thin">
        <color rgb="FFD6E4F0"/>
      </top>
      <bottom style="thin">
        <color rgb="FFE8E8E8"/>
      </bottom>
      <diagonal/>
    </border>
    <border>
      <left style="thin">
        <color rgb="FFE8E8E8"/>
      </left>
      <right style="thin">
        <color rgb="FFE8E8E8"/>
      </right>
      <top style="thin">
        <color rgb="FFE8E8E8"/>
      </top>
      <bottom style="thin">
        <color rgb="FFE8E8E8"/>
      </bottom>
      <diagonal/>
    </border>
    <border>
      <left style="thin">
        <color rgb="FF2F5496"/>
      </left>
      <right style="thin">
        <color rgb="FFE8E8E8"/>
      </right>
      <top style="thin">
        <color rgb="FFE8E8E8"/>
      </top>
      <bottom style="thin">
        <color rgb="FFE8E8E8"/>
      </bottom>
      <diagonal/>
    </border>
    <border>
      <left style="thin">
        <color rgb="FFE8E8E8"/>
      </left>
      <right style="thin">
        <color rgb="FF2F5496"/>
      </right>
      <top style="thin">
        <color rgb="FFE8E8E8"/>
      </top>
      <bottom style="thin">
        <color rgb="FFE8E8E8"/>
      </bottom>
      <diagonal/>
    </border>
    <border>
      <left style="thin">
        <color rgb="FF2F5496"/>
      </left>
      <right style="thin">
        <color rgb="FFE8E8E8"/>
      </right>
      <top style="thin">
        <color rgb="FFE8E8E8"/>
      </top>
      <bottom style="thin">
        <color rgb="FF2F5496"/>
      </bottom>
      <diagonal/>
    </border>
    <border>
      <left style="thin">
        <color rgb="FFE8E8E8"/>
      </left>
      <right style="thin">
        <color rgb="FFE8E8E8"/>
      </right>
      <top style="thin">
        <color rgb="FFE8E8E8"/>
      </top>
      <bottom style="thin">
        <color rgb="FF2F5496"/>
      </bottom>
      <diagonal/>
    </border>
    <border>
      <left style="thin">
        <color rgb="FFE8E8E8"/>
      </left>
      <right style="thin">
        <color rgb="FF2F5496"/>
      </right>
      <top style="thin">
        <color rgb="FFE8E8E8"/>
      </top>
      <bottom style="thin">
        <color rgb="FF2F5496"/>
      </bottom>
      <diagonal/>
    </border>
    <border>
      <left/>
      <right/>
      <top style="thin">
        <color rgb="FF2F5496"/>
      </top>
      <bottom/>
      <diagonal/>
    </border>
    <border>
      <left/>
      <right style="thin">
        <color rgb="FFE8E8E8"/>
      </right>
      <top style="thin">
        <color rgb="FFD6E4F0"/>
      </top>
      <bottom style="thin">
        <color rgb="FFE8E8E8"/>
      </bottom>
      <diagonal/>
    </border>
    <border>
      <left/>
      <right style="thin">
        <color rgb="FFE8E8E8"/>
      </right>
      <top style="thin">
        <color rgb="FFE8E8E8"/>
      </top>
      <bottom style="thin">
        <color rgb="FFE8E8E8"/>
      </bottom>
      <diagonal/>
    </border>
    <border>
      <left style="thin">
        <color rgb="FFE8E8E8"/>
      </left>
      <right/>
      <top style="thin">
        <color rgb="FFD6E4F0"/>
      </top>
      <bottom style="thin">
        <color rgb="FFE8E8E8"/>
      </bottom>
      <diagonal/>
    </border>
    <border>
      <left style="thin">
        <color rgb="FFE8E8E8"/>
      </left>
      <right/>
      <top style="thin">
        <color rgb="FFE8E8E8"/>
      </top>
      <bottom style="thin">
        <color rgb="FFE8E8E8"/>
      </bottom>
      <diagonal/>
    </border>
    <border>
      <left style="thin">
        <color rgb="FFE8E8E8"/>
      </left>
      <right/>
      <top style="thin">
        <color rgb="FFE8E8E8"/>
      </top>
      <bottom/>
      <diagonal/>
    </border>
    <border>
      <left style="thin">
        <color rgb="FFD6E4F0"/>
      </left>
      <right/>
      <top/>
      <bottom/>
      <diagonal/>
    </border>
    <border>
      <left style="thin">
        <color rgb="FF2F5496"/>
      </left>
      <right/>
      <top style="thin">
        <color rgb="FF2F5496"/>
      </top>
      <bottom/>
      <diagonal/>
    </border>
    <border>
      <left style="thin">
        <color rgb="FF2F5496"/>
      </left>
      <right style="thin">
        <color rgb="FFE8E8E8"/>
      </right>
      <top style="thin">
        <color rgb="FFE8E8E8"/>
      </top>
      <bottom/>
      <diagonal/>
    </border>
    <border>
      <left style="thin">
        <color rgb="FFE8E8E8"/>
      </left>
      <right style="thin">
        <color rgb="FF2F5496"/>
      </right>
      <top style="thin">
        <color rgb="FFE8E8E8"/>
      </top>
      <bottom/>
      <diagonal/>
    </border>
    <border>
      <left style="thin">
        <color rgb="FF2F5496"/>
      </left>
      <right style="thin">
        <color rgb="FFE8E8E8"/>
      </right>
      <top/>
      <bottom style="thin">
        <color rgb="FFE8E8E8"/>
      </bottom>
      <diagonal/>
    </border>
    <border>
      <left/>
      <right style="thin">
        <color rgb="FFE8E8E8"/>
      </right>
      <top/>
      <bottom style="thin">
        <color rgb="FFE8E8E8"/>
      </bottom>
      <diagonal/>
    </border>
    <border>
      <left style="thin">
        <color rgb="FFE8E8E8"/>
      </left>
      <right style="thin">
        <color rgb="FFE8E8E8"/>
      </right>
      <top/>
      <bottom style="thin">
        <color rgb="FFE8E8E8"/>
      </bottom>
      <diagonal/>
    </border>
    <border>
      <left style="thin">
        <color rgb="FFE8E8E8"/>
      </left>
      <right/>
      <top/>
      <bottom style="thin">
        <color rgb="FFE8E8E8"/>
      </bottom>
      <diagonal/>
    </border>
    <border>
      <left style="thin">
        <color rgb="FFD6E4F0"/>
      </left>
      <right style="thin">
        <color rgb="FFD6E4F0"/>
      </right>
      <top/>
      <bottom/>
      <diagonal/>
    </border>
    <border>
      <left/>
      <right style="thin">
        <color rgb="FFD6E4F0"/>
      </right>
      <top/>
      <bottom/>
      <diagonal/>
    </border>
    <border>
      <left style="thin">
        <color rgb="FF2F5496"/>
      </left>
      <right style="thin">
        <color rgb="FFD6E4F0"/>
      </right>
      <top/>
      <bottom/>
      <diagonal/>
    </border>
    <border>
      <left style="thin">
        <color rgb="FFD6E4F0"/>
      </left>
      <right style="thin">
        <color rgb="FF2F5496"/>
      </right>
      <top/>
      <bottom/>
      <diagonal/>
    </border>
    <border>
      <left style="thin">
        <color rgb="FF2F5496"/>
      </left>
      <right/>
      <top/>
      <bottom style="thin">
        <color rgb="FFE8E8E8"/>
      </bottom>
      <diagonal/>
    </border>
    <border>
      <left/>
      <right/>
      <top/>
      <bottom style="thin">
        <color rgb="FFE8E8E8"/>
      </bottom>
      <diagonal/>
    </border>
    <border>
      <left style="thin">
        <color rgb="FF2F5496"/>
      </left>
      <right/>
      <top style="thin">
        <color rgb="FFE8E8E8"/>
      </top>
      <bottom style="thin">
        <color rgb="FF2F5496"/>
      </bottom>
      <diagonal/>
    </border>
    <border>
      <left/>
      <right/>
      <top/>
      <bottom style="thin">
        <color rgb="FFD6E4F0"/>
      </bottom>
      <diagonal/>
    </border>
    <border>
      <left/>
      <right/>
      <top style="thin">
        <color rgb="FFD6E4F0"/>
      </top>
      <bottom style="thin">
        <color rgb="FFE8E8E8"/>
      </bottom>
      <diagonal/>
    </border>
    <border>
      <left/>
      <right style="thin">
        <color rgb="FFE8E8E8"/>
      </right>
      <top style="thin">
        <color rgb="FFE8E8E8"/>
      </top>
      <bottom style="thin">
        <color rgb="FF2F5496"/>
      </bottom>
      <diagonal/>
    </border>
    <border>
      <left style="thin">
        <color rgb="FF2F5496"/>
      </left>
      <right/>
      <top/>
      <bottom style="thin">
        <color rgb="FFD6E4F0"/>
      </bottom>
      <diagonal/>
    </border>
    <border>
      <left style="thin">
        <color rgb="FF2F5496"/>
      </left>
      <right/>
      <top style="thin">
        <color rgb="FFD6E4F0"/>
      </top>
      <bottom style="thin">
        <color rgb="FFE8E8E8"/>
      </bottom>
      <diagonal/>
    </border>
    <border>
      <left/>
      <right style="thin">
        <color rgb="FF2F5496"/>
      </right>
      <top style="thin">
        <color rgb="FFD6E4F0"/>
      </top>
      <bottom style="thin">
        <color rgb="FFE8E8E8"/>
      </bottom>
      <diagonal/>
    </border>
    <border>
      <left style="thin">
        <color rgb="FF2F5496"/>
      </left>
      <right/>
      <top style="thin">
        <color rgb="FF2F5496"/>
      </top>
      <bottom style="thin">
        <color rgb="FFE8E8E8"/>
      </bottom>
      <diagonal/>
    </border>
    <border>
      <left/>
      <right/>
      <top style="thin">
        <color rgb="FF2F5496"/>
      </top>
      <bottom style="thin">
        <color rgb="FFE8E8E8"/>
      </bottom>
      <diagonal/>
    </border>
    <border>
      <left/>
      <right/>
      <top style="thin">
        <color rgb="FFE8E8E8"/>
      </top>
      <bottom/>
      <diagonal/>
    </border>
    <border>
      <left/>
      <right style="thin">
        <color rgb="FF3386E0"/>
      </right>
      <top style="thin">
        <color rgb="FF3386E0"/>
      </top>
      <bottom style="thin">
        <color rgb="FFE8E8E8"/>
      </bottom>
      <diagonal/>
    </border>
    <border>
      <left/>
      <right style="thin">
        <color rgb="FF3386E0"/>
      </right>
      <top style="thin">
        <color rgb="FFE8E8E8"/>
      </top>
      <bottom/>
      <diagonal/>
    </border>
    <border>
      <left/>
      <right style="thin">
        <color rgb="FF3386E0"/>
      </right>
      <top style="thin">
        <color rgb="FFE8E8E8"/>
      </top>
      <bottom style="thin">
        <color rgb="FFE8E8E8"/>
      </bottom>
      <diagonal/>
    </border>
    <border>
      <left/>
      <right style="thin">
        <color rgb="FF3386E0"/>
      </right>
      <top/>
      <bottom style="thin">
        <color rgb="FFE8E8E8"/>
      </bottom>
      <diagonal/>
    </border>
    <border>
      <left style="thin">
        <color rgb="FFE8E8E8"/>
      </left>
      <right style="thin">
        <color rgb="FF3386E0"/>
      </right>
      <top/>
      <bottom style="thin">
        <color rgb="FFE8E8E8"/>
      </bottom>
      <diagonal/>
    </border>
    <border>
      <left style="thin">
        <color rgb="FFE8E8E8"/>
      </left>
      <right style="thin">
        <color rgb="FF3386E0"/>
      </right>
      <top style="thin">
        <color rgb="FFE8E8E8"/>
      </top>
      <bottom style="thin">
        <color rgb="FFE8E8E8"/>
      </bottom>
      <diagonal/>
    </border>
    <border>
      <left/>
      <right style="thin">
        <color rgb="FF3386E0"/>
      </right>
      <top style="thin">
        <color rgb="FFE8E8E8"/>
      </top>
      <bottom style="thin">
        <color rgb="FF2F5496"/>
      </bottom>
      <diagonal/>
    </border>
    <border>
      <left/>
      <right style="thin">
        <color indexed="64"/>
      </right>
      <top style="thin">
        <color rgb="FF2F5496"/>
      </top>
      <bottom style="thin">
        <color rgb="FF2F5496"/>
      </bottom>
      <diagonal/>
    </border>
    <border>
      <left/>
      <right/>
      <top style="thin">
        <color rgb="FFE8E8E8"/>
      </top>
      <bottom style="thin">
        <color rgb="FFE8E8E8"/>
      </bottom>
      <diagonal/>
    </border>
    <border>
      <left/>
      <right/>
      <top style="thin">
        <color rgb="FFE8E8E8"/>
      </top>
      <bottom style="thin">
        <color rgb="FF2F5496"/>
      </bottom>
      <diagonal/>
    </border>
    <border>
      <left style="thin">
        <color rgb="FFE8E8E8"/>
      </left>
      <right/>
      <top style="thin">
        <color rgb="FFE8E8E8"/>
      </top>
      <bottom style="thin">
        <color rgb="FF2F5496"/>
      </bottom>
      <diagonal/>
    </border>
    <border>
      <left style="thin">
        <color rgb="FF2F5496"/>
      </left>
      <right/>
      <top style="thin">
        <color rgb="FFE8E8E8"/>
      </top>
      <bottom/>
      <diagonal/>
    </border>
    <border>
      <left/>
      <right style="thin">
        <color indexed="64"/>
      </right>
      <top style="thin">
        <color rgb="FF2F5496"/>
      </top>
      <bottom/>
      <diagonal/>
    </border>
    <border>
      <left/>
      <right style="thin">
        <color indexed="64"/>
      </right>
      <top style="thin">
        <color rgb="FFE8E8E8"/>
      </top>
      <bottom/>
      <diagonal/>
    </border>
    <border>
      <left/>
      <right style="thin">
        <color indexed="64"/>
      </right>
      <top style="thin">
        <color rgb="FFE8E8E8"/>
      </top>
      <bottom style="thin">
        <color rgb="FF2F5496"/>
      </bottom>
      <diagonal/>
    </border>
  </borders>
  <cellStyleXfs count="6">
    <xf numFmtId="0" fontId="0" fillId="0" borderId="0"/>
    <xf numFmtId="164" fontId="1" fillId="0" borderId="0"/>
    <xf numFmtId="0" fontId="1" fillId="5" borderId="0" applyNumberFormat="0" applyBorder="0" applyAlignment="0" applyProtection="0"/>
    <xf numFmtId="0" fontId="2" fillId="4" borderId="1" applyNumberFormat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171">
    <xf numFmtId="0" fontId="0" fillId="0" borderId="0" xfId="0"/>
    <xf numFmtId="0" fontId="0" fillId="3" borderId="0" xfId="0" applyFill="1"/>
    <xf numFmtId="0" fontId="0" fillId="6" borderId="0" xfId="0" applyFill="1"/>
    <xf numFmtId="0" fontId="0" fillId="7" borderId="0" xfId="0" applyFill="1"/>
    <xf numFmtId="0" fontId="10" fillId="6" borderId="10" xfId="0" applyFont="1" applyFill="1" applyBorder="1"/>
    <xf numFmtId="0" fontId="11" fillId="7" borderId="0" xfId="0" applyFont="1" applyFill="1"/>
    <xf numFmtId="0" fontId="12" fillId="7" borderId="16" xfId="0" applyFont="1" applyFill="1" applyBorder="1" applyAlignment="1">
      <alignment horizontal="center"/>
    </xf>
    <xf numFmtId="0" fontId="10" fillId="6" borderId="17" xfId="0" applyFont="1" applyFill="1" applyBorder="1" applyAlignment="1">
      <alignment horizontal="left"/>
    </xf>
    <xf numFmtId="0" fontId="14" fillId="3" borderId="11" xfId="0" applyFont="1" applyFill="1" applyBorder="1" applyAlignment="1">
      <alignment horizontal="left"/>
    </xf>
    <xf numFmtId="0" fontId="14" fillId="3" borderId="12" xfId="0" applyFont="1" applyFill="1" applyBorder="1" applyAlignment="1">
      <alignment horizontal="left"/>
    </xf>
    <xf numFmtId="0" fontId="13" fillId="6" borderId="0" xfId="0" applyFont="1" applyFill="1" applyAlignment="1">
      <alignment horizontal="center"/>
    </xf>
    <xf numFmtId="0" fontId="10" fillId="6" borderId="2" xfId="0" applyFont="1" applyFill="1" applyBorder="1"/>
    <xf numFmtId="0" fontId="12" fillId="7" borderId="26" xfId="0" applyFont="1" applyFill="1" applyBorder="1" applyAlignment="1">
      <alignment horizontal="center"/>
    </xf>
    <xf numFmtId="0" fontId="12" fillId="7" borderId="25" xfId="0" applyFont="1" applyFill="1" applyBorder="1" applyAlignment="1">
      <alignment horizontal="center"/>
    </xf>
    <xf numFmtId="0" fontId="12" fillId="7" borderId="24" xfId="0" applyFont="1" applyFill="1" applyBorder="1" applyAlignment="1">
      <alignment horizontal="center"/>
    </xf>
    <xf numFmtId="0" fontId="12" fillId="7" borderId="27" xfId="0" applyFont="1" applyFill="1" applyBorder="1" applyAlignment="1">
      <alignment horizontal="center"/>
    </xf>
    <xf numFmtId="0" fontId="13" fillId="6" borderId="0" xfId="0" applyFont="1" applyFill="1" applyAlignment="1">
      <alignment horizontal="left"/>
    </xf>
    <xf numFmtId="0" fontId="10" fillId="6" borderId="0" xfId="0" applyFont="1" applyFill="1" applyAlignment="1">
      <alignment horizontal="left"/>
    </xf>
    <xf numFmtId="0" fontId="12" fillId="7" borderId="0" xfId="0" applyFont="1" applyFill="1"/>
    <xf numFmtId="0" fontId="15" fillId="0" borderId="0" xfId="0" applyFont="1"/>
    <xf numFmtId="0" fontId="15" fillId="7" borderId="0" xfId="0" applyFont="1" applyFill="1"/>
    <xf numFmtId="0" fontId="17" fillId="0" borderId="0" xfId="0" applyFont="1"/>
    <xf numFmtId="0" fontId="18" fillId="6" borderId="0" xfId="0" applyFont="1" applyFill="1" applyAlignment="1">
      <alignment horizontal="left"/>
    </xf>
    <xf numFmtId="0" fontId="12" fillId="7" borderId="0" xfId="0" applyFont="1" applyFill="1" applyAlignment="1">
      <alignment horizontal="center"/>
    </xf>
    <xf numFmtId="0" fontId="17" fillId="0" borderId="0" xfId="0" applyFont="1" applyAlignment="1">
      <alignment horizontal="center"/>
    </xf>
    <xf numFmtId="0" fontId="17" fillId="0" borderId="20" xfId="0" applyFont="1" applyBorder="1"/>
    <xf numFmtId="0" fontId="17" fillId="0" borderId="5" xfId="0" applyFont="1" applyBorder="1"/>
    <xf numFmtId="0" fontId="17" fillId="0" borderId="18" xfId="0" applyFont="1" applyBorder="1"/>
    <xf numFmtId="0" fontId="15" fillId="0" borderId="6" xfId="0" applyFont="1" applyBorder="1"/>
    <xf numFmtId="0" fontId="14" fillId="9" borderId="21" xfId="0" applyFont="1" applyFill="1" applyBorder="1" applyAlignment="1">
      <alignment horizontal="left"/>
    </xf>
    <xf numFmtId="0" fontId="14" fillId="9" borderId="12" xfId="0" applyFont="1" applyFill="1" applyBorder="1" applyAlignment="1">
      <alignment horizontal="left"/>
    </xf>
    <xf numFmtId="0" fontId="17" fillId="9" borderId="0" xfId="0" applyFont="1" applyFill="1"/>
    <xf numFmtId="0" fontId="15" fillId="9" borderId="0" xfId="0" applyFont="1" applyFill="1"/>
    <xf numFmtId="0" fontId="17" fillId="9" borderId="0" xfId="0" applyFont="1" applyFill="1" applyAlignment="1">
      <alignment horizontal="center"/>
    </xf>
    <xf numFmtId="0" fontId="17" fillId="9" borderId="5" xfId="0" applyFont="1" applyFill="1" applyBorder="1"/>
    <xf numFmtId="0" fontId="15" fillId="9" borderId="6" xfId="0" applyFont="1" applyFill="1" applyBorder="1"/>
    <xf numFmtId="0" fontId="5" fillId="6" borderId="10" xfId="0" applyFont="1" applyFill="1" applyBorder="1"/>
    <xf numFmtId="0" fontId="5" fillId="6" borderId="2" xfId="0" applyFont="1" applyFill="1" applyBorder="1"/>
    <xf numFmtId="0" fontId="15" fillId="0" borderId="19" xfId="0" applyFont="1" applyBorder="1"/>
    <xf numFmtId="0" fontId="17" fillId="9" borderId="18" xfId="0" applyFont="1" applyFill="1" applyBorder="1"/>
    <xf numFmtId="0" fontId="15" fillId="9" borderId="19" xfId="0" applyFont="1" applyFill="1" applyBorder="1"/>
    <xf numFmtId="0" fontId="11" fillId="7" borderId="34" xfId="0" applyFont="1" applyFill="1" applyBorder="1"/>
    <xf numFmtId="0" fontId="0" fillId="7" borderId="31" xfId="0" applyFill="1" applyBorder="1"/>
    <xf numFmtId="0" fontId="6" fillId="9" borderId="5" xfId="0" applyFont="1" applyFill="1" applyBorder="1" applyAlignment="1">
      <alignment horizontal="center"/>
    </xf>
    <xf numFmtId="0" fontId="6" fillId="9" borderId="18" xfId="0" applyFont="1" applyFill="1" applyBorder="1" applyAlignment="1">
      <alignment horizontal="center"/>
    </xf>
    <xf numFmtId="0" fontId="17" fillId="9" borderId="30" xfId="0" applyFont="1" applyFill="1" applyBorder="1"/>
    <xf numFmtId="0" fontId="12" fillId="7" borderId="0" xfId="0" applyFont="1" applyFill="1" applyAlignment="1">
      <alignment horizontal="left"/>
    </xf>
    <xf numFmtId="0" fontId="4" fillId="0" borderId="0" xfId="0" applyFont="1"/>
    <xf numFmtId="0" fontId="7" fillId="7" borderId="24" xfId="0" applyFont="1" applyFill="1" applyBorder="1" applyAlignment="1">
      <alignment horizontal="center"/>
    </xf>
    <xf numFmtId="0" fontId="7" fillId="7" borderId="20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/>
    </xf>
    <xf numFmtId="0" fontId="21" fillId="3" borderId="5" xfId="0" applyFont="1" applyFill="1" applyBorder="1" applyAlignment="1">
      <alignment horizontal="center"/>
    </xf>
    <xf numFmtId="0" fontId="20" fillId="10" borderId="0" xfId="0" applyFont="1" applyFill="1"/>
    <xf numFmtId="0" fontId="23" fillId="2" borderId="14" xfId="0" applyFont="1" applyFill="1" applyBorder="1" applyAlignment="1">
      <alignment horizontal="center"/>
    </xf>
    <xf numFmtId="2" fontId="23" fillId="2" borderId="14" xfId="0" applyNumberFormat="1" applyFont="1" applyFill="1" applyBorder="1" applyAlignment="1">
      <alignment horizontal="center"/>
    </xf>
    <xf numFmtId="3" fontId="23" fillId="2" borderId="14" xfId="0" applyNumberFormat="1" applyFont="1" applyFill="1" applyBorder="1" applyAlignment="1">
      <alignment horizontal="center"/>
    </xf>
    <xf numFmtId="165" fontId="23" fillId="2" borderId="14" xfId="0" applyNumberFormat="1" applyFont="1" applyFill="1" applyBorder="1" applyAlignment="1">
      <alignment horizontal="center"/>
    </xf>
    <xf numFmtId="0" fontId="23" fillId="2" borderId="15" xfId="0" applyFont="1" applyFill="1" applyBorder="1" applyAlignment="1">
      <alignment horizontal="center"/>
    </xf>
    <xf numFmtId="0" fontId="23" fillId="2" borderId="8" xfId="0" applyFont="1" applyFill="1" applyBorder="1" applyAlignment="1">
      <alignment horizontal="center"/>
    </xf>
    <xf numFmtId="0" fontId="23" fillId="2" borderId="23" xfId="0" applyFont="1" applyFill="1" applyBorder="1" applyAlignment="1">
      <alignment horizontal="center"/>
    </xf>
    <xf numFmtId="0" fontId="13" fillId="6" borderId="38" xfId="0" applyFont="1" applyFill="1" applyBorder="1"/>
    <xf numFmtId="0" fontId="12" fillId="7" borderId="39" xfId="0" applyFont="1" applyFill="1" applyBorder="1" applyAlignment="1">
      <alignment horizontal="left"/>
    </xf>
    <xf numFmtId="0" fontId="7" fillId="7" borderId="39" xfId="0" applyFont="1" applyFill="1" applyBorder="1" applyAlignment="1">
      <alignment horizontal="left"/>
    </xf>
    <xf numFmtId="0" fontId="23" fillId="2" borderId="0" xfId="0" applyFont="1" applyFill="1" applyAlignment="1">
      <alignment horizontal="center"/>
    </xf>
    <xf numFmtId="0" fontId="7" fillId="7" borderId="0" xfId="0" applyFont="1" applyFill="1"/>
    <xf numFmtId="0" fontId="8" fillId="11" borderId="7" xfId="0" applyFont="1" applyFill="1" applyBorder="1" applyAlignment="1">
      <alignment horizontal="center"/>
    </xf>
    <xf numFmtId="0" fontId="22" fillId="8" borderId="5" xfId="0" applyFont="1" applyFill="1" applyBorder="1" applyAlignment="1">
      <alignment horizontal="center"/>
    </xf>
    <xf numFmtId="2" fontId="14" fillId="3" borderId="11" xfId="0" applyNumberFormat="1" applyFont="1" applyFill="1" applyBorder="1" applyAlignment="1">
      <alignment horizontal="center" vertical="center"/>
    </xf>
    <xf numFmtId="2" fontId="14" fillId="9" borderId="21" xfId="0" applyNumberFormat="1" applyFont="1" applyFill="1" applyBorder="1" applyAlignment="1">
      <alignment horizontal="center" vertical="center"/>
    </xf>
    <xf numFmtId="2" fontId="14" fillId="3" borderId="40" xfId="0" applyNumberFormat="1" applyFont="1" applyFill="1" applyBorder="1" applyAlignment="1">
      <alignment horizontal="center" vertical="center"/>
    </xf>
    <xf numFmtId="2" fontId="8" fillId="11" borderId="8" xfId="0" applyNumberFormat="1" applyFont="1" applyFill="1" applyBorder="1" applyAlignment="1">
      <alignment horizontal="center"/>
    </xf>
    <xf numFmtId="2" fontId="8" fillId="11" borderId="9" xfId="0" applyNumberFormat="1" applyFont="1" applyFill="1" applyBorder="1" applyAlignment="1">
      <alignment horizontal="center"/>
    </xf>
    <xf numFmtId="0" fontId="7" fillId="7" borderId="41" xfId="0" applyFont="1" applyFill="1" applyBorder="1" applyAlignment="1">
      <alignment horizontal="left"/>
    </xf>
    <xf numFmtId="0" fontId="15" fillId="0" borderId="44" xfId="0" applyFont="1" applyBorder="1"/>
    <xf numFmtId="0" fontId="15" fillId="9" borderId="45" xfId="0" applyFont="1" applyFill="1" applyBorder="1"/>
    <xf numFmtId="0" fontId="15" fillId="9" borderId="46" xfId="0" applyFont="1" applyFill="1" applyBorder="1"/>
    <xf numFmtId="0" fontId="15" fillId="0" borderId="45" xfId="0" applyFont="1" applyBorder="1"/>
    <xf numFmtId="0" fontId="7" fillId="7" borderId="42" xfId="0" applyFont="1" applyFill="1" applyBorder="1" applyAlignment="1">
      <alignment horizontal="center"/>
    </xf>
    <xf numFmtId="0" fontId="6" fillId="0" borderId="5" xfId="0" applyFont="1" applyBorder="1"/>
    <xf numFmtId="0" fontId="20" fillId="10" borderId="47" xfId="0" applyFont="1" applyFill="1" applyBorder="1"/>
    <xf numFmtId="0" fontId="6" fillId="0" borderId="0" xfId="0" applyFont="1"/>
    <xf numFmtId="0" fontId="12" fillId="7" borderId="15" xfId="0" applyFont="1" applyFill="1" applyBorder="1" applyAlignment="1">
      <alignment horizontal="center"/>
    </xf>
    <xf numFmtId="0" fontId="12" fillId="7" borderId="39" xfId="0" applyFont="1" applyFill="1" applyBorder="1" applyAlignment="1">
      <alignment horizontal="center"/>
    </xf>
    <xf numFmtId="0" fontId="7" fillId="7" borderId="29" xfId="0" applyFont="1" applyFill="1" applyBorder="1" applyAlignment="1">
      <alignment horizontal="center" vertical="center"/>
    </xf>
    <xf numFmtId="0" fontId="13" fillId="6" borderId="10" xfId="0" applyFont="1" applyFill="1" applyBorder="1"/>
    <xf numFmtId="0" fontId="6" fillId="3" borderId="48" xfId="0" applyFont="1" applyFill="1" applyBorder="1" applyAlignment="1">
      <alignment horizontal="center"/>
    </xf>
    <xf numFmtId="0" fontId="6" fillId="9" borderId="48" xfId="0" applyFont="1" applyFill="1" applyBorder="1" applyAlignment="1">
      <alignment horizontal="center"/>
    </xf>
    <xf numFmtId="0" fontId="23" fillId="3" borderId="48" xfId="0" applyFont="1" applyFill="1" applyBorder="1" applyAlignment="1">
      <alignment horizontal="center"/>
    </xf>
    <xf numFmtId="0" fontId="6" fillId="9" borderId="39" xfId="0" applyFont="1" applyFill="1" applyBorder="1" applyAlignment="1">
      <alignment horizontal="center"/>
    </xf>
    <xf numFmtId="0" fontId="8" fillId="11" borderId="49" xfId="0" applyFont="1" applyFill="1" applyBorder="1" applyAlignment="1">
      <alignment horizontal="center" vertical="center"/>
    </xf>
    <xf numFmtId="0" fontId="19" fillId="12" borderId="50" xfId="0" applyFont="1" applyFill="1" applyBorder="1" applyAlignment="1">
      <alignment horizontal="center"/>
    </xf>
    <xf numFmtId="0" fontId="13" fillId="6" borderId="37" xfId="0" applyFont="1" applyFill="1" applyBorder="1"/>
    <xf numFmtId="2" fontId="19" fillId="12" borderId="50" xfId="0" applyNumberFormat="1" applyFont="1" applyFill="1" applyBorder="1" applyAlignment="1">
      <alignment horizontal="center"/>
    </xf>
    <xf numFmtId="2" fontId="19" fillId="12" borderId="49" xfId="0" applyNumberFormat="1" applyFont="1" applyFill="1" applyBorder="1" applyAlignment="1">
      <alignment horizontal="center"/>
    </xf>
    <xf numFmtId="0" fontId="0" fillId="6" borderId="10" xfId="0" applyFill="1" applyBorder="1"/>
    <xf numFmtId="0" fontId="20" fillId="6" borderId="10" xfId="0" applyFont="1" applyFill="1" applyBorder="1"/>
    <xf numFmtId="0" fontId="26" fillId="7" borderId="39" xfId="0" applyFont="1" applyFill="1" applyBorder="1" applyAlignment="1">
      <alignment horizontal="center"/>
    </xf>
    <xf numFmtId="0" fontId="25" fillId="6" borderId="17" xfId="0" applyFont="1" applyFill="1" applyBorder="1"/>
    <xf numFmtId="0" fontId="17" fillId="3" borderId="51" xfId="0" applyFont="1" applyFill="1" applyBorder="1"/>
    <xf numFmtId="0" fontId="17" fillId="3" borderId="15" xfId="0" applyFont="1" applyFill="1" applyBorder="1" applyAlignment="1">
      <alignment horizontal="center"/>
    </xf>
    <xf numFmtId="0" fontId="17" fillId="9" borderId="51" xfId="0" applyFont="1" applyFill="1" applyBorder="1"/>
    <xf numFmtId="0" fontId="17" fillId="9" borderId="15" xfId="0" applyFont="1" applyFill="1" applyBorder="1" applyAlignment="1">
      <alignment horizontal="center"/>
    </xf>
    <xf numFmtId="0" fontId="19" fillId="12" borderId="30" xfId="0" applyFont="1" applyFill="1" applyBorder="1"/>
    <xf numFmtId="2" fontId="17" fillId="2" borderId="0" xfId="0" applyNumberFormat="1" applyFont="1" applyFill="1" applyAlignment="1">
      <alignment horizontal="center"/>
    </xf>
    <xf numFmtId="0" fontId="20" fillId="3" borderId="39" xfId="0" applyFont="1" applyFill="1" applyBorder="1"/>
    <xf numFmtId="0" fontId="20" fillId="9" borderId="39" xfId="0" applyFont="1" applyFill="1" applyBorder="1"/>
    <xf numFmtId="0" fontId="20" fillId="12" borderId="49" xfId="0" applyFont="1" applyFill="1" applyBorder="1"/>
    <xf numFmtId="0" fontId="13" fillId="6" borderId="52" xfId="0" applyFont="1" applyFill="1" applyBorder="1"/>
    <xf numFmtId="0" fontId="12" fillId="7" borderId="53" xfId="0" applyFont="1" applyFill="1" applyBorder="1" applyAlignment="1">
      <alignment horizontal="center"/>
    </xf>
    <xf numFmtId="0" fontId="20" fillId="6" borderId="52" xfId="0" applyFont="1" applyFill="1" applyBorder="1"/>
    <xf numFmtId="0" fontId="26" fillId="7" borderId="53" xfId="0" applyFont="1" applyFill="1" applyBorder="1" applyAlignment="1">
      <alignment horizontal="center"/>
    </xf>
    <xf numFmtId="0" fontId="20" fillId="3" borderId="53" xfId="0" applyFont="1" applyFill="1" applyBorder="1"/>
    <xf numFmtId="0" fontId="20" fillId="9" borderId="53" xfId="0" applyFont="1" applyFill="1" applyBorder="1"/>
    <xf numFmtId="0" fontId="20" fillId="12" borderId="54" xfId="0" applyFont="1" applyFill="1" applyBorder="1"/>
    <xf numFmtId="2" fontId="12" fillId="7" borderId="0" xfId="0" applyNumberFormat="1" applyFont="1" applyFill="1" applyAlignment="1">
      <alignment horizontal="center"/>
    </xf>
    <xf numFmtId="2" fontId="17" fillId="0" borderId="0" xfId="0" applyNumberFormat="1" applyFont="1" applyAlignment="1">
      <alignment horizontal="center"/>
    </xf>
    <xf numFmtId="2" fontId="17" fillId="9" borderId="0" xfId="0" applyNumberFormat="1" applyFont="1" applyFill="1" applyAlignment="1">
      <alignment horizontal="center"/>
    </xf>
    <xf numFmtId="2" fontId="0" fillId="0" borderId="0" xfId="0" applyNumberFormat="1"/>
    <xf numFmtId="2" fontId="0" fillId="6" borderId="0" xfId="0" applyNumberFormat="1" applyFill="1"/>
    <xf numFmtId="0" fontId="23" fillId="2" borderId="14" xfId="0" applyFont="1" applyFill="1" applyBorder="1" applyAlignment="1">
      <alignment horizontal="left" vertical="top" wrapText="1"/>
    </xf>
    <xf numFmtId="0" fontId="4" fillId="9" borderId="0" xfId="0" applyFont="1" applyFill="1"/>
    <xf numFmtId="0" fontId="27" fillId="6" borderId="0" xfId="0" applyFont="1" applyFill="1"/>
    <xf numFmtId="0" fontId="27" fillId="6" borderId="0" xfId="0" applyFont="1" applyFill="1" applyAlignment="1">
      <alignment horizontal="left"/>
    </xf>
    <xf numFmtId="0" fontId="28" fillId="7" borderId="0" xfId="0" applyFont="1" applyFill="1"/>
    <xf numFmtId="2" fontId="28" fillId="7" borderId="0" xfId="0" applyNumberFormat="1" applyFont="1" applyFill="1" applyAlignment="1">
      <alignment horizontal="center"/>
    </xf>
    <xf numFmtId="0" fontId="29" fillId="3" borderId="0" xfId="0" applyFont="1" applyFill="1"/>
    <xf numFmtId="2" fontId="29" fillId="3" borderId="0" xfId="0" applyNumberFormat="1" applyFont="1" applyFill="1" applyAlignment="1">
      <alignment horizontal="center"/>
    </xf>
    <xf numFmtId="0" fontId="30" fillId="3" borderId="0" xfId="0" applyFont="1" applyFill="1"/>
    <xf numFmtId="0" fontId="29" fillId="9" borderId="0" xfId="0" applyFont="1" applyFill="1"/>
    <xf numFmtId="2" fontId="29" fillId="9" borderId="0" xfId="0" applyNumberFormat="1" applyFont="1" applyFill="1" applyAlignment="1">
      <alignment horizontal="center"/>
    </xf>
    <xf numFmtId="0" fontId="30" fillId="9" borderId="0" xfId="0" applyFont="1" applyFill="1"/>
    <xf numFmtId="0" fontId="0" fillId="10" borderId="0" xfId="0" applyFill="1"/>
    <xf numFmtId="166" fontId="19" fillId="12" borderId="49" xfId="0" applyNumberFormat="1" applyFont="1" applyFill="1" applyBorder="1" applyAlignment="1">
      <alignment horizontal="center"/>
    </xf>
    <xf numFmtId="3" fontId="19" fillId="12" borderId="54" xfId="0" applyNumberFormat="1" applyFont="1" applyFill="1" applyBorder="1" applyAlignment="1">
      <alignment horizontal="center"/>
    </xf>
    <xf numFmtId="3" fontId="19" fillId="12" borderId="50" xfId="0" applyNumberFormat="1" applyFont="1" applyFill="1" applyBorder="1" applyAlignment="1">
      <alignment horizontal="center"/>
    </xf>
    <xf numFmtId="3" fontId="23" fillId="2" borderId="0" xfId="0" applyNumberFormat="1" applyFont="1" applyFill="1" applyAlignment="1">
      <alignment horizontal="center"/>
    </xf>
    <xf numFmtId="1" fontId="23" fillId="2" borderId="0" xfId="0" applyNumberFormat="1" applyFont="1" applyFill="1" applyAlignment="1">
      <alignment horizontal="center"/>
    </xf>
    <xf numFmtId="165" fontId="23" fillId="2" borderId="0" xfId="0" applyNumberFormat="1" applyFont="1" applyFill="1" applyAlignment="1">
      <alignment horizontal="center"/>
    </xf>
    <xf numFmtId="1" fontId="29" fillId="2" borderId="0" xfId="0" applyNumberFormat="1" applyFont="1" applyFill="1" applyAlignment="1">
      <alignment horizontal="center"/>
    </xf>
    <xf numFmtId="4" fontId="19" fillId="12" borderId="49" xfId="0" applyNumberFormat="1" applyFont="1" applyFill="1" applyBorder="1" applyAlignment="1">
      <alignment horizontal="center"/>
    </xf>
    <xf numFmtId="2" fontId="0" fillId="2" borderId="0" xfId="0" applyNumberFormat="1" applyFill="1"/>
    <xf numFmtId="3" fontId="29" fillId="2" borderId="0" xfId="0" applyNumberFormat="1" applyFont="1" applyFill="1" applyAlignment="1">
      <alignment horizontal="center"/>
    </xf>
    <xf numFmtId="165" fontId="29" fillId="2" borderId="0" xfId="0" applyNumberFormat="1" applyFont="1" applyFill="1" applyAlignment="1">
      <alignment horizontal="center"/>
    </xf>
    <xf numFmtId="167" fontId="23" fillId="2" borderId="0" xfId="0" applyNumberFormat="1" applyFont="1" applyFill="1" applyAlignment="1">
      <alignment horizontal="center"/>
    </xf>
    <xf numFmtId="2" fontId="23" fillId="2" borderId="0" xfId="0" applyNumberFormat="1" applyFont="1" applyFill="1" applyAlignment="1">
      <alignment horizontal="center"/>
    </xf>
    <xf numFmtId="0" fontId="0" fillId="2" borderId="0" xfId="0" applyFill="1"/>
    <xf numFmtId="0" fontId="31" fillId="7" borderId="0" xfId="0" applyFont="1" applyFill="1"/>
    <xf numFmtId="2" fontId="23" fillId="2" borderId="3" xfId="0" applyNumberFormat="1" applyFont="1" applyFill="1" applyBorder="1" applyAlignment="1">
      <alignment horizontal="center"/>
    </xf>
    <xf numFmtId="2" fontId="23" fillId="2" borderId="13" xfId="0" applyNumberFormat="1" applyFont="1" applyFill="1" applyBorder="1" applyAlignment="1">
      <alignment horizontal="center"/>
    </xf>
    <xf numFmtId="2" fontId="23" fillId="2" borderId="22" xfId="0" applyNumberFormat="1" applyFont="1" applyFill="1" applyBorder="1" applyAlignment="1">
      <alignment horizontal="center"/>
    </xf>
    <xf numFmtId="2" fontId="23" fillId="2" borderId="4" xfId="0" applyNumberFormat="1" applyFont="1" applyFill="1" applyBorder="1" applyAlignment="1">
      <alignment horizontal="center"/>
    </xf>
    <xf numFmtId="2" fontId="17" fillId="2" borderId="39" xfId="0" applyNumberFormat="1" applyFont="1" applyFill="1" applyBorder="1" applyAlignment="1">
      <alignment horizontal="center"/>
    </xf>
    <xf numFmtId="166" fontId="17" fillId="2" borderId="39" xfId="0" applyNumberFormat="1" applyFont="1" applyFill="1" applyBorder="1" applyAlignment="1">
      <alignment horizontal="center"/>
    </xf>
    <xf numFmtId="3" fontId="17" fillId="2" borderId="53" xfId="0" applyNumberFormat="1" applyFont="1" applyFill="1" applyBorder="1" applyAlignment="1">
      <alignment horizontal="center"/>
    </xf>
    <xf numFmtId="3" fontId="17" fillId="2" borderId="15" xfId="0" applyNumberFormat="1" applyFont="1" applyFill="1" applyBorder="1" applyAlignment="1">
      <alignment horizontal="center"/>
    </xf>
    <xf numFmtId="1" fontId="17" fillId="2" borderId="15" xfId="0" applyNumberFormat="1" applyFont="1" applyFill="1" applyBorder="1" applyAlignment="1">
      <alignment horizontal="center"/>
    </xf>
    <xf numFmtId="0" fontId="7" fillId="7" borderId="39" xfId="0" applyFont="1" applyFill="1" applyBorder="1" applyAlignment="1">
      <alignment horizontal="center"/>
    </xf>
    <xf numFmtId="0" fontId="6" fillId="3" borderId="15" xfId="0" applyFont="1" applyFill="1" applyBorder="1"/>
    <xf numFmtId="0" fontId="6" fillId="9" borderId="15" xfId="0" applyFont="1" applyFill="1" applyBorder="1"/>
    <xf numFmtId="0" fontId="6" fillId="12" borderId="50" xfId="0" applyFont="1" applyFill="1" applyBorder="1"/>
    <xf numFmtId="2" fontId="17" fillId="2" borderId="15" xfId="5" applyNumberFormat="1" applyFont="1" applyFill="1" applyBorder="1" applyAlignment="1">
      <alignment horizontal="center" vertical="center"/>
    </xf>
    <xf numFmtId="0" fontId="24" fillId="6" borderId="35" xfId="0" applyFont="1" applyFill="1" applyBorder="1" applyAlignment="1">
      <alignment horizontal="left" vertical="center"/>
    </xf>
    <xf numFmtId="0" fontId="24" fillId="6" borderId="32" xfId="0" applyFont="1" applyFill="1" applyBorder="1" applyAlignment="1">
      <alignment horizontal="left" vertical="center"/>
    </xf>
    <xf numFmtId="0" fontId="24" fillId="6" borderId="36" xfId="0" applyFont="1" applyFill="1" applyBorder="1" applyAlignment="1">
      <alignment horizontal="left" vertical="center"/>
    </xf>
    <xf numFmtId="0" fontId="24" fillId="6" borderId="28" xfId="0" applyFont="1" applyFill="1" applyBorder="1" applyAlignment="1">
      <alignment horizontal="left"/>
    </xf>
    <xf numFmtId="0" fontId="24" fillId="6" borderId="29" xfId="0" applyFont="1" applyFill="1" applyBorder="1" applyAlignment="1">
      <alignment horizontal="left"/>
    </xf>
    <xf numFmtId="0" fontId="24" fillId="6" borderId="43" xfId="0" applyFont="1" applyFill="1" applyBorder="1" applyAlignment="1">
      <alignment horizontal="left"/>
    </xf>
    <xf numFmtId="0" fontId="10" fillId="6" borderId="17" xfId="0" applyFont="1" applyFill="1" applyBorder="1" applyAlignment="1">
      <alignment horizontal="left"/>
    </xf>
    <xf numFmtId="0" fontId="10" fillId="6" borderId="10" xfId="0" applyFont="1" applyFill="1" applyBorder="1" applyAlignment="1">
      <alignment horizontal="center"/>
    </xf>
    <xf numFmtId="0" fontId="8" fillId="11" borderId="30" xfId="0" applyFont="1" applyFill="1" applyBorder="1" applyAlignment="1">
      <alignment horizontal="left"/>
    </xf>
    <xf numFmtId="0" fontId="8" fillId="11" borderId="33" xfId="0" applyFont="1" applyFill="1" applyBorder="1" applyAlignment="1">
      <alignment horizontal="left"/>
    </xf>
  </cellXfs>
  <cellStyles count="6">
    <cellStyle name="40 % – uthevingsfarge 4 2" xfId="2" xr:uid="{E2DD6619-898D-4E12-8D85-8B13D99E36CB}"/>
    <cellStyle name="Comma" xfId="5" builtinId="3"/>
    <cellStyle name="Hyperkopling 2" xfId="4" xr:uid="{CF525F09-A490-40C0-9933-921B46911A85}"/>
    <cellStyle name="Inndata 2" xfId="3" xr:uid="{D30308E0-7ABD-4B48-934F-2CCDE1885070}"/>
    <cellStyle name="Normal" xfId="0" builtinId="0"/>
    <cellStyle name="Valuta 2" xfId="1" xr:uid="{00000000-0005-0000-0000-000007000000}"/>
  </cellStyles>
  <dxfs count="3">
    <dxf>
      <fill>
        <patternFill>
          <bgColor theme="2" tint="-9.9948118533890809E-2"/>
        </patternFill>
      </fill>
    </dxf>
    <dxf>
      <fill>
        <patternFill patternType="solid">
          <bgColor rgb="FFFFC7CE"/>
        </patternFill>
      </fill>
    </dxf>
    <dxf>
      <fill>
        <patternFill>
          <bgColor theme="6" tint="0.79998168889431442"/>
        </patternFill>
      </fill>
    </dxf>
  </dxfs>
  <tableStyles count="0" defaultTableStyle="TableStyleMedium2" defaultPivotStyle="PivotStyleLight16"/>
  <colors>
    <mruColors>
      <color rgb="FF2F5496"/>
      <color rgb="FF3386E0"/>
      <color rgb="FFFFC7CE"/>
      <color rgb="FFFFC7CD"/>
      <color rgb="FFFF00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15039-AFB1-4BFF-A0F0-E2FF0C25AA5E}">
  <sheetPr codeName="Sheet1">
    <tabColor rgb="FF2F5496"/>
  </sheetPr>
  <dimension ref="A1:D78"/>
  <sheetViews>
    <sheetView zoomScaleNormal="100" workbookViewId="0">
      <pane ySplit="2" topLeftCell="A59" activePane="bottomLeft" state="frozen"/>
      <selection pane="bottomLeft" activeCell="B10" sqref="B10"/>
    </sheetView>
  </sheetViews>
  <sheetFormatPr defaultColWidth="9.1796875" defaultRowHeight="14.5" x14ac:dyDescent="0.35"/>
  <cols>
    <col min="1" max="1" width="49.54296875" customWidth="1"/>
    <col min="2" max="2" width="19" customWidth="1"/>
    <col min="3" max="3" width="45.81640625" bestFit="1" customWidth="1"/>
    <col min="4" max="4" width="46.26953125" bestFit="1" customWidth="1"/>
  </cols>
  <sheetData>
    <row r="1" spans="1:3" ht="18.5" x14ac:dyDescent="0.45">
      <c r="A1" s="17" t="s">
        <v>98</v>
      </c>
      <c r="B1" s="2"/>
      <c r="C1" s="2"/>
    </row>
    <row r="2" spans="1:3" x14ac:dyDescent="0.35">
      <c r="A2" s="146" t="s">
        <v>99</v>
      </c>
      <c r="B2" s="3"/>
      <c r="C2" s="3"/>
    </row>
    <row r="3" spans="1:3" x14ac:dyDescent="0.35">
      <c r="A3" s="10" t="s">
        <v>100</v>
      </c>
      <c r="B3" s="10" t="s">
        <v>101</v>
      </c>
      <c r="C3" s="10" t="s">
        <v>102</v>
      </c>
    </row>
    <row r="4" spans="1:3" x14ac:dyDescent="0.35">
      <c r="A4" s="18" t="s">
        <v>103</v>
      </c>
      <c r="B4" s="3"/>
      <c r="C4" s="20"/>
    </row>
    <row r="5" spans="1:3" x14ac:dyDescent="0.35">
      <c r="A5" s="21" t="s">
        <v>104</v>
      </c>
      <c r="B5" s="63" t="s">
        <v>191</v>
      </c>
      <c r="C5" s="19" t="s">
        <v>121</v>
      </c>
    </row>
    <row r="6" spans="1:3" x14ac:dyDescent="0.35">
      <c r="A6" s="31" t="s">
        <v>105</v>
      </c>
      <c r="B6" s="63" t="s">
        <v>191</v>
      </c>
      <c r="C6" s="32" t="s">
        <v>121</v>
      </c>
    </row>
    <row r="7" spans="1:3" x14ac:dyDescent="0.35">
      <c r="A7" s="21" t="s">
        <v>106</v>
      </c>
      <c r="B7" s="63" t="s">
        <v>191</v>
      </c>
      <c r="C7" s="47" t="s">
        <v>122</v>
      </c>
    </row>
    <row r="8" spans="1:3" x14ac:dyDescent="0.35">
      <c r="A8" s="31" t="s">
        <v>107</v>
      </c>
      <c r="B8" s="63" t="s">
        <v>191</v>
      </c>
      <c r="C8" s="32" t="s">
        <v>123</v>
      </c>
    </row>
    <row r="9" spans="1:3" x14ac:dyDescent="0.35">
      <c r="A9" s="18" t="s">
        <v>108</v>
      </c>
      <c r="B9" s="3"/>
      <c r="C9" s="20" t="s">
        <v>124</v>
      </c>
    </row>
    <row r="10" spans="1:3" x14ac:dyDescent="0.35">
      <c r="A10" s="21" t="s">
        <v>109</v>
      </c>
      <c r="B10" s="63" t="s">
        <v>192</v>
      </c>
      <c r="C10" s="19" t="s">
        <v>125</v>
      </c>
    </row>
    <row r="11" spans="1:3" x14ac:dyDescent="0.35">
      <c r="A11" s="31" t="s">
        <v>110</v>
      </c>
      <c r="B11" s="63" t="s">
        <v>193</v>
      </c>
      <c r="C11" s="32" t="s">
        <v>126</v>
      </c>
    </row>
    <row r="12" spans="1:3" x14ac:dyDescent="0.35">
      <c r="A12" s="21" t="s">
        <v>111</v>
      </c>
      <c r="B12" s="63">
        <v>20</v>
      </c>
      <c r="C12" s="19" t="s">
        <v>127</v>
      </c>
    </row>
    <row r="13" spans="1:3" x14ac:dyDescent="0.35">
      <c r="A13" s="31" t="s">
        <v>112</v>
      </c>
      <c r="B13" s="63" t="s">
        <v>191</v>
      </c>
      <c r="C13" s="32" t="s">
        <v>128</v>
      </c>
    </row>
    <row r="14" spans="1:3" x14ac:dyDescent="0.35">
      <c r="A14" s="21" t="s">
        <v>113</v>
      </c>
      <c r="B14" s="63" t="s">
        <v>191</v>
      </c>
      <c r="C14" s="19" t="s">
        <v>129</v>
      </c>
    </row>
    <row r="15" spans="1:3" x14ac:dyDescent="0.35">
      <c r="A15" s="31" t="s">
        <v>114</v>
      </c>
      <c r="B15" s="63" t="s">
        <v>191</v>
      </c>
      <c r="C15" s="32" t="s">
        <v>130</v>
      </c>
    </row>
    <row r="16" spans="1:3" x14ac:dyDescent="0.35">
      <c r="A16" s="21" t="s">
        <v>115</v>
      </c>
      <c r="B16" s="63" t="s">
        <v>191</v>
      </c>
      <c r="C16" s="19" t="s">
        <v>131</v>
      </c>
    </row>
    <row r="17" spans="1:4" x14ac:dyDescent="0.35">
      <c r="A17" s="31" t="s">
        <v>116</v>
      </c>
      <c r="B17" s="63" t="s">
        <v>191</v>
      </c>
      <c r="C17" s="32" t="s">
        <v>132</v>
      </c>
    </row>
    <row r="18" spans="1:4" x14ac:dyDescent="0.35">
      <c r="A18" s="18" t="s">
        <v>117</v>
      </c>
      <c r="B18" s="3"/>
      <c r="C18" s="20" t="s">
        <v>133</v>
      </c>
    </row>
    <row r="19" spans="1:4" x14ac:dyDescent="0.35">
      <c r="A19" s="21" t="s">
        <v>118</v>
      </c>
      <c r="B19" s="63">
        <v>4</v>
      </c>
      <c r="C19" s="47" t="s">
        <v>134</v>
      </c>
    </row>
    <row r="20" spans="1:4" x14ac:dyDescent="0.35">
      <c r="A20" s="31" t="s">
        <v>119</v>
      </c>
      <c r="B20" s="63">
        <v>500</v>
      </c>
      <c r="C20" s="32" t="str">
        <f>IF(A20="Desired autonomy (days)","Typically 3–14 days","Typically 100–500 Ah")</f>
        <v>Typically 100–500 Ah</v>
      </c>
    </row>
    <row r="21" spans="1:4" x14ac:dyDescent="0.35">
      <c r="A21" s="21" t="s">
        <v>120</v>
      </c>
      <c r="B21" s="63" t="s">
        <v>191</v>
      </c>
      <c r="C21" s="19" t="s">
        <v>135</v>
      </c>
    </row>
    <row r="26" spans="1:4" x14ac:dyDescent="0.35">
      <c r="A26" s="1"/>
      <c r="B26" s="1"/>
      <c r="C26" s="1"/>
    </row>
    <row r="27" spans="1:4" ht="16" x14ac:dyDescent="0.4">
      <c r="A27" s="22" t="s">
        <v>136</v>
      </c>
      <c r="B27" s="2"/>
      <c r="C27" s="2"/>
      <c r="D27" s="2"/>
    </row>
    <row r="28" spans="1:4" x14ac:dyDescent="0.35">
      <c r="A28" s="5"/>
      <c r="B28" s="3"/>
      <c r="C28" s="3"/>
      <c r="D28" s="3"/>
    </row>
    <row r="29" spans="1:4" x14ac:dyDescent="0.35">
      <c r="A29" s="16" t="s">
        <v>137</v>
      </c>
      <c r="B29" s="2"/>
      <c r="C29" s="2"/>
      <c r="D29" s="2"/>
    </row>
    <row r="30" spans="1:4" x14ac:dyDescent="0.35">
      <c r="A30" s="18" t="s">
        <v>11</v>
      </c>
      <c r="B30" s="114" t="s">
        <v>37</v>
      </c>
      <c r="C30" s="114" t="s">
        <v>57</v>
      </c>
      <c r="D30" s="18" t="s">
        <v>38</v>
      </c>
    </row>
    <row r="31" spans="1:4" x14ac:dyDescent="0.35">
      <c r="A31" s="21" t="s">
        <v>138</v>
      </c>
      <c r="B31" s="115" t="s">
        <v>25</v>
      </c>
      <c r="C31" s="135">
        <v>425</v>
      </c>
      <c r="D31" s="19" t="s">
        <v>143</v>
      </c>
    </row>
    <row r="32" spans="1:4" x14ac:dyDescent="0.35">
      <c r="A32" s="31" t="s">
        <v>139</v>
      </c>
      <c r="B32" s="116" t="s">
        <v>142</v>
      </c>
      <c r="C32" s="136">
        <v>2</v>
      </c>
      <c r="D32" s="32" t="s">
        <v>144</v>
      </c>
    </row>
    <row r="33" spans="1:4" x14ac:dyDescent="0.35">
      <c r="A33" s="31" t="s">
        <v>140</v>
      </c>
      <c r="B33" s="116" t="s">
        <v>31</v>
      </c>
      <c r="C33" s="137">
        <v>0.8</v>
      </c>
      <c r="D33" s="32" t="s">
        <v>145</v>
      </c>
    </row>
    <row r="34" spans="1:4" x14ac:dyDescent="0.35">
      <c r="A34" s="80" t="s">
        <v>141</v>
      </c>
      <c r="B34" s="115" t="s">
        <v>91</v>
      </c>
      <c r="C34" s="136">
        <v>25</v>
      </c>
      <c r="D34" s="19" t="s">
        <v>146</v>
      </c>
    </row>
    <row r="35" spans="1:4" x14ac:dyDescent="0.35">
      <c r="B35" s="117"/>
      <c r="C35" s="140"/>
    </row>
    <row r="36" spans="1:4" x14ac:dyDescent="0.35">
      <c r="A36" s="16" t="s">
        <v>147</v>
      </c>
      <c r="B36" s="118"/>
      <c r="C36" s="118"/>
      <c r="D36" s="2"/>
    </row>
    <row r="37" spans="1:4" x14ac:dyDescent="0.35">
      <c r="A37" s="18" t="s">
        <v>11</v>
      </c>
      <c r="B37" s="114" t="s">
        <v>37</v>
      </c>
      <c r="C37" s="114" t="s">
        <v>57</v>
      </c>
      <c r="D37" s="64" t="s">
        <v>38</v>
      </c>
    </row>
    <row r="38" spans="1:4" x14ac:dyDescent="0.35">
      <c r="A38" s="21" t="s">
        <v>148</v>
      </c>
      <c r="B38" s="115" t="s">
        <v>26</v>
      </c>
      <c r="C38" s="137">
        <v>12.8</v>
      </c>
      <c r="D38" s="19" t="s">
        <v>153</v>
      </c>
    </row>
    <row r="39" spans="1:4" x14ac:dyDescent="0.35">
      <c r="A39" s="21" t="s">
        <v>149</v>
      </c>
      <c r="B39" s="115" t="s">
        <v>151</v>
      </c>
      <c r="C39" s="137">
        <v>0.8</v>
      </c>
      <c r="D39" s="19" t="s">
        <v>154</v>
      </c>
    </row>
    <row r="40" spans="1:4" x14ac:dyDescent="0.35">
      <c r="A40" s="31" t="s">
        <v>150</v>
      </c>
      <c r="B40" s="116" t="s">
        <v>152</v>
      </c>
      <c r="C40" s="135">
        <v>6000</v>
      </c>
      <c r="D40" s="32" t="s">
        <v>32</v>
      </c>
    </row>
    <row r="41" spans="1:4" x14ac:dyDescent="0.35">
      <c r="B41" s="117"/>
      <c r="C41" s="140"/>
    </row>
    <row r="42" spans="1:4" x14ac:dyDescent="0.35">
      <c r="A42" s="122" t="s">
        <v>155</v>
      </c>
      <c r="B42" s="121"/>
      <c r="C42" s="121"/>
      <c r="D42" s="121"/>
    </row>
    <row r="43" spans="1:4" x14ac:dyDescent="0.35">
      <c r="A43" s="123" t="s">
        <v>11</v>
      </c>
      <c r="B43" s="124" t="s">
        <v>37</v>
      </c>
      <c r="C43" s="124" t="s">
        <v>57</v>
      </c>
      <c r="D43" s="123" t="s">
        <v>38</v>
      </c>
    </row>
    <row r="44" spans="1:4" x14ac:dyDescent="0.35">
      <c r="A44" s="125" t="s">
        <v>156</v>
      </c>
      <c r="B44" s="126" t="s">
        <v>24</v>
      </c>
      <c r="C44" s="141">
        <v>88000</v>
      </c>
      <c r="D44" s="127" t="s">
        <v>164</v>
      </c>
    </row>
    <row r="45" spans="1:4" x14ac:dyDescent="0.35">
      <c r="A45" s="128" t="s">
        <v>157</v>
      </c>
      <c r="B45" s="129" t="s">
        <v>27</v>
      </c>
      <c r="C45" s="141">
        <v>82</v>
      </c>
      <c r="D45" s="130" t="s">
        <v>165</v>
      </c>
    </row>
    <row r="46" spans="1:4" x14ac:dyDescent="0.35">
      <c r="A46" s="125" t="s">
        <v>158</v>
      </c>
      <c r="B46" s="126" t="s">
        <v>162</v>
      </c>
      <c r="C46" s="142">
        <v>0.9</v>
      </c>
      <c r="D46" s="127" t="s">
        <v>166</v>
      </c>
    </row>
    <row r="47" spans="1:4" x14ac:dyDescent="0.35">
      <c r="A47" s="128" t="s">
        <v>159</v>
      </c>
      <c r="B47" s="129" t="s">
        <v>28</v>
      </c>
      <c r="C47" s="141">
        <v>75</v>
      </c>
      <c r="D47" s="130" t="s">
        <v>167</v>
      </c>
    </row>
    <row r="48" spans="1:4" x14ac:dyDescent="0.35">
      <c r="A48" s="125" t="s">
        <v>160</v>
      </c>
      <c r="B48" s="126" t="s">
        <v>163</v>
      </c>
      <c r="C48" s="141">
        <v>6500</v>
      </c>
      <c r="D48" s="127" t="s">
        <v>168</v>
      </c>
    </row>
    <row r="49" spans="1:4" x14ac:dyDescent="0.35">
      <c r="A49" s="128" t="s">
        <v>161</v>
      </c>
      <c r="B49" s="129" t="s">
        <v>24</v>
      </c>
      <c r="C49" s="141">
        <v>100</v>
      </c>
      <c r="D49" s="130" t="s">
        <v>169</v>
      </c>
    </row>
    <row r="50" spans="1:4" x14ac:dyDescent="0.35">
      <c r="A50" s="122" t="s">
        <v>97</v>
      </c>
      <c r="B50" s="121"/>
      <c r="C50" s="121"/>
      <c r="D50" s="121"/>
    </row>
    <row r="51" spans="1:4" x14ac:dyDescent="0.35">
      <c r="A51" s="123" t="s">
        <v>11</v>
      </c>
      <c r="B51" s="124" t="s">
        <v>37</v>
      </c>
      <c r="C51" s="124" t="s">
        <v>57</v>
      </c>
      <c r="D51" s="123" t="s">
        <v>38</v>
      </c>
    </row>
    <row r="52" spans="1:4" x14ac:dyDescent="0.35">
      <c r="A52" s="125" t="s">
        <v>156</v>
      </c>
      <c r="B52" s="126" t="s">
        <v>24</v>
      </c>
      <c r="C52" s="141">
        <v>35000</v>
      </c>
      <c r="D52" s="127" t="s">
        <v>164</v>
      </c>
    </row>
    <row r="53" spans="1:4" x14ac:dyDescent="0.35">
      <c r="A53" s="128" t="s">
        <v>157</v>
      </c>
      <c r="B53" s="129" t="s">
        <v>27</v>
      </c>
      <c r="C53" s="141">
        <v>6500</v>
      </c>
      <c r="D53" s="130" t="s">
        <v>165</v>
      </c>
    </row>
    <row r="54" spans="1:4" x14ac:dyDescent="0.35">
      <c r="A54" s="125" t="s">
        <v>158</v>
      </c>
      <c r="B54" s="126" t="s">
        <v>162</v>
      </c>
      <c r="C54" s="142">
        <v>0.5</v>
      </c>
      <c r="D54" s="127" t="s">
        <v>171</v>
      </c>
    </row>
    <row r="55" spans="1:4" x14ac:dyDescent="0.35">
      <c r="A55" s="128" t="s">
        <v>170</v>
      </c>
      <c r="B55" s="129" t="s">
        <v>28</v>
      </c>
      <c r="C55" s="142">
        <v>18.100000000000001</v>
      </c>
      <c r="D55" s="130" t="s">
        <v>172</v>
      </c>
    </row>
    <row r="56" spans="1:4" x14ac:dyDescent="0.35">
      <c r="A56" s="125" t="s">
        <v>160</v>
      </c>
      <c r="B56" s="126" t="s">
        <v>163</v>
      </c>
      <c r="C56" s="141">
        <v>43800</v>
      </c>
      <c r="D56" s="127" t="s">
        <v>168</v>
      </c>
    </row>
    <row r="57" spans="1:4" x14ac:dyDescent="0.35">
      <c r="A57" s="128" t="s">
        <v>161</v>
      </c>
      <c r="B57" s="129" t="s">
        <v>90</v>
      </c>
      <c r="C57" s="141">
        <v>25000</v>
      </c>
      <c r="D57" s="130" t="s">
        <v>173</v>
      </c>
    </row>
    <row r="58" spans="1:4" x14ac:dyDescent="0.35">
      <c r="A58" s="16" t="s">
        <v>174</v>
      </c>
      <c r="B58" s="118"/>
      <c r="C58" s="118"/>
      <c r="D58" s="2"/>
    </row>
    <row r="59" spans="1:4" x14ac:dyDescent="0.35">
      <c r="A59" s="18" t="s">
        <v>11</v>
      </c>
      <c r="B59" s="114" t="s">
        <v>37</v>
      </c>
      <c r="C59" s="114" t="s">
        <v>57</v>
      </c>
      <c r="D59" s="64" t="s">
        <v>38</v>
      </c>
    </row>
    <row r="60" spans="1:4" x14ac:dyDescent="0.35">
      <c r="A60" s="21" t="s">
        <v>175</v>
      </c>
      <c r="B60" s="115" t="s">
        <v>29</v>
      </c>
      <c r="C60" s="143">
        <v>1.0880000000000001</v>
      </c>
      <c r="D60" s="19" t="s">
        <v>178</v>
      </c>
    </row>
    <row r="61" spans="1:4" x14ac:dyDescent="0.35">
      <c r="A61" s="31" t="s">
        <v>176</v>
      </c>
      <c r="B61" s="116" t="s">
        <v>29</v>
      </c>
      <c r="C61" s="144">
        <v>2.68</v>
      </c>
      <c r="D61" s="32" t="s">
        <v>30</v>
      </c>
    </row>
    <row r="62" spans="1:4" x14ac:dyDescent="0.35">
      <c r="A62" s="125" t="s">
        <v>177</v>
      </c>
      <c r="B62" s="126" t="s">
        <v>91</v>
      </c>
      <c r="C62" s="138">
        <v>10</v>
      </c>
      <c r="D62" s="127" t="s">
        <v>179</v>
      </c>
    </row>
    <row r="63" spans="1:4" x14ac:dyDescent="0.35">
      <c r="A63" s="31"/>
      <c r="B63" s="31"/>
      <c r="C63" s="145"/>
      <c r="D63" s="130"/>
    </row>
    <row r="64" spans="1:4" x14ac:dyDescent="0.35">
      <c r="A64" s="16" t="s">
        <v>180</v>
      </c>
      <c r="B64" s="118"/>
      <c r="C64" s="118"/>
      <c r="D64" s="2"/>
    </row>
    <row r="65" spans="1:4" x14ac:dyDescent="0.35">
      <c r="A65" s="23" t="s">
        <v>73</v>
      </c>
      <c r="B65" s="114" t="s">
        <v>37</v>
      </c>
      <c r="C65" s="114" t="s">
        <v>181</v>
      </c>
      <c r="D65" s="64" t="s">
        <v>38</v>
      </c>
    </row>
    <row r="66" spans="1:4" x14ac:dyDescent="0.35">
      <c r="A66" s="24" t="s">
        <v>1</v>
      </c>
      <c r="B66" s="115" t="s">
        <v>33</v>
      </c>
      <c r="C66" s="103">
        <v>0.11064530284</v>
      </c>
      <c r="D66" s="120" t="s">
        <v>182</v>
      </c>
    </row>
    <row r="67" spans="1:4" x14ac:dyDescent="0.35">
      <c r="A67" s="33" t="s">
        <v>2</v>
      </c>
      <c r="B67" s="116" t="s">
        <v>33</v>
      </c>
      <c r="C67" s="103">
        <v>1.02081508839</v>
      </c>
      <c r="D67" s="120" t="s">
        <v>182</v>
      </c>
    </row>
    <row r="68" spans="1:4" x14ac:dyDescent="0.35">
      <c r="A68" s="24" t="s">
        <v>3</v>
      </c>
      <c r="B68" s="115" t="s">
        <v>33</v>
      </c>
      <c r="C68" s="103">
        <v>21.443874866649999</v>
      </c>
      <c r="D68" s="120" t="s">
        <v>182</v>
      </c>
    </row>
    <row r="69" spans="1:4" x14ac:dyDescent="0.35">
      <c r="A69" s="33" t="s">
        <v>4</v>
      </c>
      <c r="B69" s="116" t="s">
        <v>33</v>
      </c>
      <c r="C69" s="103">
        <v>61.438706418839999</v>
      </c>
      <c r="D69" s="120" t="s">
        <v>182</v>
      </c>
    </row>
    <row r="70" spans="1:4" x14ac:dyDescent="0.35">
      <c r="A70" s="24" t="s">
        <v>80</v>
      </c>
      <c r="B70" s="115" t="s">
        <v>33</v>
      </c>
      <c r="C70" s="103">
        <v>79.353910310939995</v>
      </c>
      <c r="D70" s="120" t="s">
        <v>182</v>
      </c>
    </row>
    <row r="71" spans="1:4" x14ac:dyDescent="0.35">
      <c r="A71" s="33" t="s">
        <v>5</v>
      </c>
      <c r="B71" s="116" t="s">
        <v>33</v>
      </c>
      <c r="C71" s="103">
        <v>79.302326783620003</v>
      </c>
      <c r="D71" s="120" t="s">
        <v>182</v>
      </c>
    </row>
    <row r="72" spans="1:4" x14ac:dyDescent="0.35">
      <c r="A72" s="24" t="s">
        <v>6</v>
      </c>
      <c r="B72" s="115" t="s">
        <v>33</v>
      </c>
      <c r="C72" s="103">
        <v>80.633455781169999</v>
      </c>
      <c r="D72" s="120" t="s">
        <v>182</v>
      </c>
    </row>
    <row r="73" spans="1:4" x14ac:dyDescent="0.35">
      <c r="A73" s="33" t="s">
        <v>7</v>
      </c>
      <c r="B73" s="116" t="s">
        <v>33</v>
      </c>
      <c r="C73" s="103">
        <v>71.41789862748</v>
      </c>
      <c r="D73" s="120" t="s">
        <v>182</v>
      </c>
    </row>
    <row r="74" spans="1:4" x14ac:dyDescent="0.35">
      <c r="A74" s="24" t="s">
        <v>8</v>
      </c>
      <c r="B74" s="115" t="s">
        <v>33</v>
      </c>
      <c r="C74" s="103">
        <v>37.714101916620002</v>
      </c>
      <c r="D74" s="120" t="s">
        <v>182</v>
      </c>
    </row>
    <row r="75" spans="1:4" x14ac:dyDescent="0.35">
      <c r="A75" s="33" t="s">
        <v>81</v>
      </c>
      <c r="B75" s="116" t="s">
        <v>33</v>
      </c>
      <c r="C75" s="103">
        <v>3.0550566452400001</v>
      </c>
      <c r="D75" s="120" t="s">
        <v>182</v>
      </c>
    </row>
    <row r="76" spans="1:4" x14ac:dyDescent="0.35">
      <c r="A76" s="24" t="s">
        <v>9</v>
      </c>
      <c r="B76" s="115" t="s">
        <v>33</v>
      </c>
      <c r="C76" s="103">
        <v>0.25973765458999998</v>
      </c>
      <c r="D76" s="120" t="s">
        <v>182</v>
      </c>
    </row>
    <row r="77" spans="1:4" x14ac:dyDescent="0.35">
      <c r="A77" s="33" t="s">
        <v>82</v>
      </c>
      <c r="B77" s="33" t="s">
        <v>33</v>
      </c>
      <c r="C77" s="103">
        <v>1.7009748460000002E-2</v>
      </c>
      <c r="D77" s="120" t="s">
        <v>182</v>
      </c>
    </row>
    <row r="78" spans="1:4" x14ac:dyDescent="0.35">
      <c r="C78" s="117"/>
    </row>
  </sheetData>
  <phoneticPr fontId="9" type="noConversion"/>
  <dataValidations count="5">
    <dataValidation type="list" allowBlank="1" showInputMessage="1" showErrorMessage="1" sqref="B21" xr:uid="{51B5B105-6BBD-4B12-9D9C-68181D9FF4B5}">
      <formula1>"Yes,No"</formula1>
    </dataValidation>
    <dataValidation type="list" allowBlank="1" showInputMessage="1" showErrorMessage="1" sqref="B10" xr:uid="{1C9EEABA-D1F5-4E71-8845-8BACA0FEA1A6}">
      <formula1>"Pipe via intake, Pipe through dam, Gate/bottom valve, Notch in dam (V-profile)"</formula1>
    </dataValidation>
    <dataValidation type="list" allowBlank="1" showInputMessage="1" showErrorMessage="1" promptTitle="Konfigurasjon" prompt="Velg 'Ønsket autonomi (dager)' for automatisk beregning, eller 'Batteribank størrelse (Ah)' for manuell oppgivelse." sqref="A20" xr:uid="{A2B86A24-EC76-4EE9-8A3D-B2D41E4838CE}">
      <formula1>"Desired autonomy (days),Battery bank size (Ah)"</formula1>
    </dataValidation>
    <dataValidation allowBlank="1" showInputMessage="1" showErrorMessage="1" promptTitle="Konfigurasjon" prompt="Velg 'Ønsket autonomi (dager)' for automatisk beregning, eller 'Batteribank størrelse (Ah)' for manuell oppgivelse." sqref="B20" xr:uid="{5FDBA371-3121-41D7-B233-F70078FE2AA8}"/>
    <dataValidation type="list" allowBlank="1" showInputMessage="1" showErrorMessage="1" sqref="B5 B6 B7 B8 B11 B13 B14 B15 B16 B17" xr:uid="{93157BA3-01F9-4DE4-8345-A46E376773D4}">
      <formula1>"Yes,No"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073B4-CABC-4CC9-A69B-5D22B7BECA60}">
  <sheetPr codeName="Sheet2">
    <tabColor theme="3" tint="0.249977111117893"/>
  </sheetPr>
  <dimension ref="A1:H35"/>
  <sheetViews>
    <sheetView topLeftCell="B1" workbookViewId="0">
      <pane ySplit="2" topLeftCell="A3" activePane="bottomLeft" state="frozen"/>
      <selection pane="bottomLeft" activeCell="D18" sqref="D18"/>
    </sheetView>
  </sheetViews>
  <sheetFormatPr defaultColWidth="9.1796875" defaultRowHeight="14.5" x14ac:dyDescent="0.35"/>
  <cols>
    <col min="1" max="1" width="9.1796875" customWidth="1"/>
    <col min="2" max="2" width="45.453125" customWidth="1"/>
    <col min="3" max="3" width="14.54296875" customWidth="1"/>
    <col min="4" max="4" width="12" bestFit="1" customWidth="1"/>
    <col min="5" max="5" width="19.1796875" customWidth="1"/>
    <col min="6" max="6" width="16" bestFit="1" customWidth="1"/>
    <col min="7" max="8" width="19.1796875" customWidth="1"/>
  </cols>
  <sheetData>
    <row r="1" spans="1:8" ht="18.5" x14ac:dyDescent="0.45">
      <c r="A1" s="167" t="s">
        <v>183</v>
      </c>
      <c r="B1" s="168"/>
      <c r="C1" s="4"/>
      <c r="D1" s="4"/>
      <c r="E1" s="4"/>
      <c r="F1" s="36"/>
      <c r="G1" s="4"/>
      <c r="H1" s="11"/>
    </row>
    <row r="2" spans="1:8" x14ac:dyDescent="0.35">
      <c r="A2" s="12" t="s">
        <v>190</v>
      </c>
      <c r="B2" s="13" t="s">
        <v>37</v>
      </c>
      <c r="C2" s="14" t="s">
        <v>184</v>
      </c>
      <c r="D2" s="14" t="s">
        <v>185</v>
      </c>
      <c r="E2" s="48" t="s">
        <v>186</v>
      </c>
      <c r="F2" s="48" t="s">
        <v>187</v>
      </c>
      <c r="G2" s="6" t="s">
        <v>188</v>
      </c>
      <c r="H2" s="15" t="s">
        <v>189</v>
      </c>
    </row>
    <row r="3" spans="1:8" x14ac:dyDescent="0.35">
      <c r="A3" s="66" t="b">
        <v>1</v>
      </c>
      <c r="B3" s="8" t="s">
        <v>12</v>
      </c>
      <c r="C3" s="147">
        <v>0.1</v>
      </c>
      <c r="D3" s="67">
        <f>C3/Input!$C$38</f>
        <v>7.8125E-3</v>
      </c>
      <c r="E3" s="147">
        <f>C3*24*(A3)</f>
        <v>2.4000000000000004</v>
      </c>
      <c r="F3" s="67">
        <f>D3*24*(A3)</f>
        <v>0.1875</v>
      </c>
      <c r="G3" s="148">
        <f>E3*7</f>
        <v>16.800000000000004</v>
      </c>
      <c r="H3" s="69">
        <f>F3*7</f>
        <v>1.3125</v>
      </c>
    </row>
    <row r="4" spans="1:8" x14ac:dyDescent="0.35">
      <c r="A4" s="66" t="b">
        <v>1</v>
      </c>
      <c r="B4" s="29" t="s">
        <v>20</v>
      </c>
      <c r="C4" s="149">
        <v>2.4</v>
      </c>
      <c r="D4" s="68">
        <f>C4/Input!$C$38</f>
        <v>0.18749999999999997</v>
      </c>
      <c r="E4" s="149">
        <f t="shared" ref="E4:E18" si="0">C4*24*(A4)</f>
        <v>57.599999999999994</v>
      </c>
      <c r="F4" s="68">
        <f>D4*24*(A4)</f>
        <v>4.4999999999999991</v>
      </c>
      <c r="G4" s="148">
        <f t="shared" ref="G4:G18" si="1">E4*7</f>
        <v>403.19999999999993</v>
      </c>
      <c r="H4" s="69">
        <f t="shared" ref="H4:H18" si="2">F4*7</f>
        <v>31.499999999999993</v>
      </c>
    </row>
    <row r="5" spans="1:8" x14ac:dyDescent="0.35">
      <c r="A5" s="66" t="b">
        <v>1</v>
      </c>
      <c r="B5" s="9" t="s">
        <v>13</v>
      </c>
      <c r="C5" s="150">
        <v>1.2</v>
      </c>
      <c r="D5" s="67">
        <f>C5/Input!$C$38</f>
        <v>9.3749999999999986E-2</v>
      </c>
      <c r="E5" s="150">
        <f t="shared" si="0"/>
        <v>28.799999999999997</v>
      </c>
      <c r="F5" s="67">
        <f t="shared" ref="F5:F18" si="3">D5*24*(A5)</f>
        <v>2.2499999999999996</v>
      </c>
      <c r="G5" s="148">
        <f t="shared" si="1"/>
        <v>201.59999999999997</v>
      </c>
      <c r="H5" s="69">
        <f t="shared" si="2"/>
        <v>15.749999999999996</v>
      </c>
    </row>
    <row r="6" spans="1:8" x14ac:dyDescent="0.35">
      <c r="A6" s="66" t="b">
        <v>1</v>
      </c>
      <c r="B6" s="30" t="s">
        <v>14</v>
      </c>
      <c r="C6" s="150">
        <v>2.8</v>
      </c>
      <c r="D6" s="68">
        <f>C6/Input!$C$38</f>
        <v>0.21874999999999997</v>
      </c>
      <c r="E6" s="150">
        <f t="shared" si="0"/>
        <v>67.199999999999989</v>
      </c>
      <c r="F6" s="68">
        <f t="shared" si="3"/>
        <v>5.2499999999999991</v>
      </c>
      <c r="G6" s="148">
        <f t="shared" si="1"/>
        <v>470.39999999999992</v>
      </c>
      <c r="H6" s="69">
        <f t="shared" si="2"/>
        <v>36.749999999999993</v>
      </c>
    </row>
    <row r="7" spans="1:8" x14ac:dyDescent="0.35">
      <c r="A7" s="66" t="b">
        <v>1</v>
      </c>
      <c r="B7" s="9" t="s">
        <v>15</v>
      </c>
      <c r="C7" s="150">
        <v>4.2000000000000003E-2</v>
      </c>
      <c r="D7" s="67">
        <f>C7/Input!$C$38</f>
        <v>3.2812499999999999E-3</v>
      </c>
      <c r="E7" s="150">
        <f t="shared" si="0"/>
        <v>1.008</v>
      </c>
      <c r="F7" s="67">
        <f t="shared" si="3"/>
        <v>7.8750000000000001E-2</v>
      </c>
      <c r="G7" s="148">
        <f t="shared" si="1"/>
        <v>7.056</v>
      </c>
      <c r="H7" s="69">
        <f t="shared" si="2"/>
        <v>0.55125000000000002</v>
      </c>
    </row>
    <row r="8" spans="1:8" x14ac:dyDescent="0.35">
      <c r="A8" s="66" t="b">
        <v>1</v>
      </c>
      <c r="B8" s="30" t="s">
        <v>21</v>
      </c>
      <c r="C8" s="150">
        <v>6.45</v>
      </c>
      <c r="D8" s="68">
        <f>C8/Input!$C$38</f>
        <v>0.50390625</v>
      </c>
      <c r="E8" s="150">
        <f t="shared" si="0"/>
        <v>154.80000000000001</v>
      </c>
      <c r="F8" s="68">
        <f t="shared" si="3"/>
        <v>12.09375</v>
      </c>
      <c r="G8" s="148">
        <f t="shared" si="1"/>
        <v>1083.6000000000001</v>
      </c>
      <c r="H8" s="69">
        <f t="shared" si="2"/>
        <v>84.65625</v>
      </c>
    </row>
    <row r="9" spans="1:8" x14ac:dyDescent="0.35">
      <c r="A9" s="66" t="b">
        <v>1</v>
      </c>
      <c r="B9" s="9" t="s">
        <v>22</v>
      </c>
      <c r="C9" s="150">
        <v>7</v>
      </c>
      <c r="D9" s="67">
        <f>C9/Input!$C$38</f>
        <v>0.546875</v>
      </c>
      <c r="E9" s="150">
        <f t="shared" si="0"/>
        <v>168</v>
      </c>
      <c r="F9" s="67">
        <f t="shared" si="3"/>
        <v>13.125</v>
      </c>
      <c r="G9" s="148">
        <f t="shared" si="1"/>
        <v>1176</v>
      </c>
      <c r="H9" s="69">
        <f t="shared" si="2"/>
        <v>91.875</v>
      </c>
    </row>
    <row r="10" spans="1:8" x14ac:dyDescent="0.35">
      <c r="A10" s="66" t="b">
        <v>1</v>
      </c>
      <c r="B10" s="30" t="s">
        <v>23</v>
      </c>
      <c r="C10" s="150">
        <v>0.5</v>
      </c>
      <c r="D10" s="68">
        <f>C10/Input!$C$38</f>
        <v>3.90625E-2</v>
      </c>
      <c r="E10" s="147">
        <f t="shared" si="0"/>
        <v>12</v>
      </c>
      <c r="F10" s="68">
        <f t="shared" si="3"/>
        <v>0.9375</v>
      </c>
      <c r="G10" s="148">
        <f t="shared" si="1"/>
        <v>84</v>
      </c>
      <c r="H10" s="69">
        <f t="shared" si="2"/>
        <v>6.5625</v>
      </c>
    </row>
    <row r="11" spans="1:8" x14ac:dyDescent="0.35">
      <c r="A11" s="66" t="b">
        <v>1</v>
      </c>
      <c r="B11" s="9" t="s">
        <v>18</v>
      </c>
      <c r="C11" s="150">
        <v>3.7400000000000003E-2</v>
      </c>
      <c r="D11" s="67">
        <f>C11/Input!$C$38</f>
        <v>2.921875E-3</v>
      </c>
      <c r="E11" s="149">
        <f t="shared" si="0"/>
        <v>0.89760000000000006</v>
      </c>
      <c r="F11" s="67">
        <f t="shared" si="3"/>
        <v>7.0124999999999993E-2</v>
      </c>
      <c r="G11" s="148">
        <f t="shared" si="1"/>
        <v>6.2832000000000008</v>
      </c>
      <c r="H11" s="69">
        <f t="shared" si="2"/>
        <v>0.49087499999999995</v>
      </c>
    </row>
    <row r="12" spans="1:8" x14ac:dyDescent="0.35">
      <c r="A12" s="66" t="b">
        <v>1</v>
      </c>
      <c r="B12" s="30" t="s">
        <v>19</v>
      </c>
      <c r="C12" s="150">
        <v>7</v>
      </c>
      <c r="D12" s="68">
        <f>C12/Input!$C$38</f>
        <v>0.546875</v>
      </c>
      <c r="E12" s="150">
        <f t="shared" si="0"/>
        <v>168</v>
      </c>
      <c r="F12" s="68">
        <f t="shared" si="3"/>
        <v>13.125</v>
      </c>
      <c r="G12" s="148">
        <f t="shared" si="1"/>
        <v>1176</v>
      </c>
      <c r="H12" s="69">
        <f t="shared" si="2"/>
        <v>91.875</v>
      </c>
    </row>
    <row r="13" spans="1:8" x14ac:dyDescent="0.35">
      <c r="A13" s="66" t="b">
        <v>1</v>
      </c>
      <c r="B13" s="8"/>
      <c r="C13" s="150"/>
      <c r="D13" s="67">
        <f>C13/Input!$C$38</f>
        <v>0</v>
      </c>
      <c r="E13" s="150">
        <f t="shared" si="0"/>
        <v>0</v>
      </c>
      <c r="F13" s="67">
        <f t="shared" si="3"/>
        <v>0</v>
      </c>
      <c r="G13" s="148">
        <f t="shared" si="1"/>
        <v>0</v>
      </c>
      <c r="H13" s="69">
        <f t="shared" si="2"/>
        <v>0</v>
      </c>
    </row>
    <row r="14" spans="1:8" x14ac:dyDescent="0.35">
      <c r="A14" s="66" t="b">
        <v>1</v>
      </c>
      <c r="B14" s="29"/>
      <c r="C14" s="150"/>
      <c r="D14" s="68">
        <f>C14/Input!$C$38</f>
        <v>0</v>
      </c>
      <c r="E14" s="150">
        <f t="shared" si="0"/>
        <v>0</v>
      </c>
      <c r="F14" s="68">
        <f t="shared" si="3"/>
        <v>0</v>
      </c>
      <c r="G14" s="148">
        <f t="shared" si="1"/>
        <v>0</v>
      </c>
      <c r="H14" s="69">
        <f t="shared" si="2"/>
        <v>0</v>
      </c>
    </row>
    <row r="15" spans="1:8" x14ac:dyDescent="0.35">
      <c r="A15" s="66" t="b">
        <v>1</v>
      </c>
      <c r="B15" s="9"/>
      <c r="C15" s="150"/>
      <c r="D15" s="67">
        <f>C15/Input!$C$38</f>
        <v>0</v>
      </c>
      <c r="E15" s="150">
        <f t="shared" si="0"/>
        <v>0</v>
      </c>
      <c r="F15" s="67">
        <f t="shared" si="3"/>
        <v>0</v>
      </c>
      <c r="G15" s="148">
        <f t="shared" si="1"/>
        <v>0</v>
      </c>
      <c r="H15" s="69">
        <f t="shared" si="2"/>
        <v>0</v>
      </c>
    </row>
    <row r="16" spans="1:8" x14ac:dyDescent="0.35">
      <c r="A16" s="66" t="b">
        <v>1</v>
      </c>
      <c r="B16" s="30"/>
      <c r="C16" s="150"/>
      <c r="D16" s="68">
        <f>C16/Input!$C$38</f>
        <v>0</v>
      </c>
      <c r="E16" s="150">
        <f t="shared" si="0"/>
        <v>0</v>
      </c>
      <c r="F16" s="68">
        <f t="shared" si="3"/>
        <v>0</v>
      </c>
      <c r="G16" s="148">
        <f t="shared" si="1"/>
        <v>0</v>
      </c>
      <c r="H16" s="69">
        <f t="shared" si="2"/>
        <v>0</v>
      </c>
    </row>
    <row r="17" spans="1:8" x14ac:dyDescent="0.35">
      <c r="A17" s="66" t="b">
        <v>1</v>
      </c>
      <c r="B17" s="9"/>
      <c r="C17" s="150"/>
      <c r="D17" s="67">
        <f>C17/Input!$C$38</f>
        <v>0</v>
      </c>
      <c r="E17" s="147">
        <f t="shared" si="0"/>
        <v>0</v>
      </c>
      <c r="F17" s="67">
        <f t="shared" si="3"/>
        <v>0</v>
      </c>
      <c r="G17" s="148">
        <f t="shared" si="1"/>
        <v>0</v>
      </c>
      <c r="H17" s="69">
        <f t="shared" si="2"/>
        <v>0</v>
      </c>
    </row>
    <row r="18" spans="1:8" x14ac:dyDescent="0.35">
      <c r="A18" s="66" t="b">
        <v>1</v>
      </c>
      <c r="B18" s="30"/>
      <c r="C18" s="150"/>
      <c r="D18" s="68">
        <f>C18/Input!$C$38</f>
        <v>0</v>
      </c>
      <c r="E18" s="149">
        <f t="shared" si="0"/>
        <v>0</v>
      </c>
      <c r="F18" s="68">
        <f t="shared" si="3"/>
        <v>0</v>
      </c>
      <c r="G18" s="148">
        <f t="shared" si="1"/>
        <v>0</v>
      </c>
      <c r="H18" s="69">
        <f t="shared" si="2"/>
        <v>0</v>
      </c>
    </row>
    <row r="19" spans="1:8" x14ac:dyDescent="0.35">
      <c r="A19" s="169" t="s">
        <v>16</v>
      </c>
      <c r="B19" s="170"/>
      <c r="C19" s="70">
        <f t="shared" ref="C19:H19" si="4">SUM(C3:C18)</f>
        <v>27.529400000000003</v>
      </c>
      <c r="D19" s="70">
        <f t="shared" si="4"/>
        <v>2.1507343749999999</v>
      </c>
      <c r="E19" s="70">
        <f t="shared" si="4"/>
        <v>660.7056</v>
      </c>
      <c r="F19" s="70">
        <f t="shared" si="4"/>
        <v>51.617624999999997</v>
      </c>
      <c r="G19" s="70">
        <f t="shared" si="4"/>
        <v>4624.9391999999998</v>
      </c>
      <c r="H19" s="71">
        <f t="shared" si="4"/>
        <v>361.323375</v>
      </c>
    </row>
    <row r="24" spans="1:8" x14ac:dyDescent="0.35">
      <c r="E24" s="117"/>
    </row>
    <row r="25" spans="1:8" x14ac:dyDescent="0.35">
      <c r="E25" s="117"/>
    </row>
    <row r="26" spans="1:8" x14ac:dyDescent="0.35">
      <c r="E26" s="117"/>
    </row>
    <row r="27" spans="1:8" x14ac:dyDescent="0.35">
      <c r="E27" s="117"/>
    </row>
    <row r="28" spans="1:8" x14ac:dyDescent="0.35">
      <c r="E28" s="117"/>
    </row>
    <row r="29" spans="1:8" x14ac:dyDescent="0.35">
      <c r="E29" s="117"/>
    </row>
    <row r="30" spans="1:8" x14ac:dyDescent="0.35">
      <c r="E30" s="117"/>
    </row>
    <row r="31" spans="1:8" x14ac:dyDescent="0.35">
      <c r="E31" s="117"/>
    </row>
    <row r="32" spans="1:8" x14ac:dyDescent="0.35">
      <c r="E32" s="117"/>
    </row>
    <row r="33" spans="5:5" x14ac:dyDescent="0.35">
      <c r="E33" s="117"/>
    </row>
    <row r="34" spans="5:5" x14ac:dyDescent="0.35">
      <c r="E34" s="117"/>
    </row>
    <row r="35" spans="5:5" x14ac:dyDescent="0.35">
      <c r="E35" s="117"/>
    </row>
  </sheetData>
  <mergeCells count="2">
    <mergeCell ref="A1:B1"/>
    <mergeCell ref="A19:B19"/>
  </mergeCells>
  <phoneticPr fontId="9" type="noConversion"/>
  <conditionalFormatting sqref="A3:A18">
    <cfRule type="expression" dxfId="2" priority="10">
      <formula>$A3=TRUE</formula>
    </cfRule>
    <cfRule type="expression" dxfId="1" priority="11">
      <formula>$A3=FALSE</formula>
    </cfRule>
  </conditionalFormatting>
  <conditionalFormatting sqref="B3:H18">
    <cfRule type="expression" dxfId="0" priority="1">
      <formula>$A3=FALSE</formula>
    </cfRule>
  </conditionalFormatting>
  <dataValidations count="1">
    <dataValidation type="list" allowBlank="1" showInputMessage="1" showErrorMessage="1" sqref="A3:A18" xr:uid="{E5D7890F-03D8-4455-B9BB-98C25EE36F38}">
      <formula1>"TRUE,FALSE"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EC980-8B83-458F-8BBE-A5BF394E521D}">
  <sheetPr codeName="Sheet3">
    <tabColor rgb="FF2F5496"/>
  </sheetPr>
  <dimension ref="A1:G47"/>
  <sheetViews>
    <sheetView tabSelected="1" zoomScale="94" zoomScaleNormal="100" zoomScaleSheetLayoutView="100" workbookViewId="0">
      <pane ySplit="2" topLeftCell="A18" activePane="bottomLeft" state="frozen"/>
      <selection pane="bottomLeft" activeCell="D22" sqref="D22"/>
    </sheetView>
  </sheetViews>
  <sheetFormatPr defaultColWidth="9.1796875" defaultRowHeight="14.5" x14ac:dyDescent="0.35"/>
  <cols>
    <col min="1" max="1" width="61" bestFit="1" customWidth="1"/>
    <col min="2" max="2" width="59.81640625" customWidth="1"/>
    <col min="3" max="3" width="30.54296875" bestFit="1" customWidth="1"/>
    <col min="4" max="4" width="24" bestFit="1" customWidth="1"/>
    <col min="5" max="5" width="24.453125" bestFit="1" customWidth="1"/>
    <col min="6" max="6" width="9.54296875" bestFit="1" customWidth="1"/>
    <col min="7" max="7" width="16.7265625" bestFit="1" customWidth="1"/>
    <col min="8" max="8" width="15.26953125" customWidth="1"/>
    <col min="9" max="9" width="42.453125" customWidth="1"/>
  </cols>
  <sheetData>
    <row r="1" spans="1:4" ht="18.5" x14ac:dyDescent="0.45">
      <c r="A1" s="7" t="s">
        <v>34</v>
      </c>
      <c r="B1" s="36"/>
      <c r="C1" s="37"/>
      <c r="D1" s="131"/>
    </row>
    <row r="2" spans="1:4" x14ac:dyDescent="0.35">
      <c r="A2" s="41" t="s">
        <v>35</v>
      </c>
      <c r="B2" s="42"/>
    </row>
    <row r="3" spans="1:4" x14ac:dyDescent="0.35">
      <c r="A3" s="161" t="s">
        <v>36</v>
      </c>
      <c r="B3" s="162"/>
      <c r="C3" s="163"/>
    </row>
    <row r="4" spans="1:4" x14ac:dyDescent="0.35">
      <c r="A4" s="46" t="s">
        <v>11</v>
      </c>
      <c r="B4" s="46" t="s">
        <v>37</v>
      </c>
      <c r="C4" s="77" t="s">
        <v>38</v>
      </c>
    </row>
    <row r="5" spans="1:4" ht="26" x14ac:dyDescent="0.35">
      <c r="A5" s="26" t="s">
        <v>39</v>
      </c>
      <c r="B5" s="119" t="str">
        <f>_xlfn.LET(_xlpm.slip,Input!B10,_xlpm.fish,Input!B11,_xlpm.lowcond,Input!B13,_xlpm.ice,Input!B14,_xlpm.linflow,Input!B16,_xlpm.sensor,IF(_xlpm.ice="Yes","Bubble tube or pressure cell","Pressure cell, bubble tube, float or ultrasound/radar sensor"),_xlpm.flowmeter,IF(_xlpm.linflow="Yes",IF(_xlpm.lowcond="Yes","Orifice plate or ultrasound transit time","Electromagnetic, orifice plate or ultrasound transit time"),IF(_xlpm.lowcond="Yes","Orifice plate or ADP","Electromagnetic, orifice plate or ADP")),IF(_xlpm.slip="Pipe via intake",_xlpm.flowmeter&amp;" flow meter"&amp;IF(_xlpm.fish="Yes",". "&amp;_xlpm.sensor,""),IF(_xlpm.slip="Pipe through dam",_xlpm.sensor&amp;". Measurement profile downstream of dam",IF(_xlpm.slip="Gate/bottom valve",_xlpm.sensor&amp;" and gate opening. Measurement profile downstream of release point",IF(_xlpm.slip="Notch in dam (V-profile)",_xlpm.sensor&amp;". Measurement profile downstream of release point","Select arrangement")))))</f>
        <v>Electromagnetic, orifice plate or ADP flow meter. Pressure cell, bubble tube, float or ultrasound/radar sensor</v>
      </c>
      <c r="C5" s="76" t="s">
        <v>49</v>
      </c>
    </row>
    <row r="6" spans="1:4" x14ac:dyDescent="0.35">
      <c r="A6" s="34" t="s">
        <v>40</v>
      </c>
      <c r="B6" s="53" t="str">
        <f>IF(Input!B5="Yes","4G router",IF(Input!B6="Yes","NB-IoT",IF(Input!B7="Yes","LoRaWAN","Satellite modem")))</f>
        <v>Satellite modem</v>
      </c>
      <c r="C6" s="74" t="s">
        <v>50</v>
      </c>
    </row>
    <row r="7" spans="1:4" x14ac:dyDescent="0.35">
      <c r="A7" s="26" t="s">
        <v>17</v>
      </c>
      <c r="B7" s="53" t="str">
        <f>IF(OR(Input!B15="Yes",Input!B19&lt;=4),"2 loggers + backup logger","1 logger")</f>
        <v>2 loggers + backup logger</v>
      </c>
      <c r="C7" s="28" t="s">
        <v>51</v>
      </c>
    </row>
    <row r="8" spans="1:4" x14ac:dyDescent="0.35">
      <c r="A8" s="34" t="s">
        <v>41</v>
      </c>
      <c r="B8" s="53" t="str">
        <f>IF(Input!B5="Yes","Yes","No")</f>
        <v>No</v>
      </c>
      <c r="C8" s="35" t="s">
        <v>52</v>
      </c>
    </row>
    <row r="9" spans="1:4" x14ac:dyDescent="0.35">
      <c r="A9" s="34" t="s">
        <v>42</v>
      </c>
      <c r="B9" s="53" t="str">
        <f>IF(Input!B21="Yes","Fuel cell (methanol)",IF(Input!B19&lt;=3,"Fuel cell (methanol)","Diesel generator"))</f>
        <v>Diesel generator</v>
      </c>
      <c r="C9" s="35" t="s">
        <v>53</v>
      </c>
    </row>
    <row r="10" spans="1:4" x14ac:dyDescent="0.35">
      <c r="A10" s="78" t="s">
        <v>43</v>
      </c>
      <c r="B10" s="53">
        <f>IF(Results!$B$9="Diesel generator", Input!$C$53, Input!$C$45)</f>
        <v>6500</v>
      </c>
      <c r="C10" s="28" t="s">
        <v>53</v>
      </c>
    </row>
    <row r="11" spans="1:4" x14ac:dyDescent="0.35">
      <c r="A11" s="34" t="s">
        <v>44</v>
      </c>
      <c r="B11" s="54">
        <f>Input!C32</f>
        <v>2</v>
      </c>
      <c r="C11" s="35" t="s">
        <v>54</v>
      </c>
    </row>
    <row r="12" spans="1:4" x14ac:dyDescent="0.35">
      <c r="A12" s="26" t="s">
        <v>45</v>
      </c>
      <c r="B12" s="55">
        <f>IF(Input!A20="Battery bank size (Ah)",Input!B20,ROUND(('Power Budget'!E19*Input!B20)/(Input!C38*Input!C39),0))</f>
        <v>500</v>
      </c>
      <c r="C12" s="28" t="str">
        <f>IF(Input!A20="Desired autonomy (days)","Sized from autonomy requirement","Manually specified battery bank")</f>
        <v>Manually specified battery bank</v>
      </c>
    </row>
    <row r="13" spans="1:4" x14ac:dyDescent="0.35">
      <c r="A13" s="34" t="s">
        <v>46</v>
      </c>
      <c r="B13" s="56">
        <f>ROUND(SUM(F27:F38),1)</f>
        <v>51.3</v>
      </c>
      <c r="C13" s="35" t="s">
        <v>55</v>
      </c>
    </row>
    <row r="14" spans="1:4" x14ac:dyDescent="0.35">
      <c r="A14" s="27" t="s">
        <v>47</v>
      </c>
      <c r="B14" s="57" t="str">
        <f>IF(Input!B14="Yes",IF(Input!B10="Pipe via intake","Frost-protected sensor housing / heat cable","Ice reduction measurement profile"),"Standard")</f>
        <v>Standard</v>
      </c>
      <c r="C14" s="38"/>
    </row>
    <row r="15" spans="1:4" x14ac:dyDescent="0.35">
      <c r="A15" s="45" t="s">
        <v>48</v>
      </c>
      <c r="B15" s="58" t="str">
        <f>IF(Input!B10="Pipe via intake","Straight run + laminar flow"&amp;IF(Input!B15="Yes"," + camera",""),"See NVE guidelines")</f>
        <v>Straight run + laminar flow</v>
      </c>
      <c r="C15" s="75"/>
    </row>
    <row r="16" spans="1:4" x14ac:dyDescent="0.35">
      <c r="A16" s="164" t="s">
        <v>56</v>
      </c>
      <c r="B16" s="165"/>
      <c r="C16" s="166"/>
    </row>
    <row r="17" spans="1:7" x14ac:dyDescent="0.35">
      <c r="A17" s="61" t="s">
        <v>11</v>
      </c>
      <c r="B17" s="62" t="s">
        <v>57</v>
      </c>
      <c r="C17" s="72" t="s">
        <v>58</v>
      </c>
    </row>
    <row r="18" spans="1:7" x14ac:dyDescent="0.35">
      <c r="A18" s="25" t="s">
        <v>59</v>
      </c>
      <c r="B18" s="59" t="s">
        <v>64</v>
      </c>
      <c r="C18" s="73" t="s">
        <v>68</v>
      </c>
    </row>
    <row r="19" spans="1:7" x14ac:dyDescent="0.35">
      <c r="A19" s="34" t="s">
        <v>60</v>
      </c>
      <c r="B19" s="53" t="s">
        <v>0</v>
      </c>
      <c r="C19" s="74" t="s">
        <v>69</v>
      </c>
    </row>
    <row r="20" spans="1:7" x14ac:dyDescent="0.35">
      <c r="A20" s="26" t="s">
        <v>61</v>
      </c>
      <c r="B20" s="53" t="s">
        <v>65</v>
      </c>
      <c r="C20" s="28" t="s">
        <v>69</v>
      </c>
    </row>
    <row r="21" spans="1:7" x14ac:dyDescent="0.35">
      <c r="A21" s="39" t="s">
        <v>62</v>
      </c>
      <c r="B21" s="57" t="s">
        <v>66</v>
      </c>
      <c r="C21" s="40" t="s">
        <v>70</v>
      </c>
    </row>
    <row r="22" spans="1:7" x14ac:dyDescent="0.35">
      <c r="A22" s="27" t="s">
        <v>63</v>
      </c>
      <c r="B22" s="57" t="s">
        <v>67</v>
      </c>
      <c r="C22" s="38" t="s">
        <v>71</v>
      </c>
    </row>
    <row r="23" spans="1:7" x14ac:dyDescent="0.35">
      <c r="A23" s="79" t="s">
        <v>72</v>
      </c>
    </row>
    <row r="25" spans="1:7" x14ac:dyDescent="0.35">
      <c r="A25" s="91" t="str">
        <f>"Energy Balance – Annual Overview ("&amp;B9&amp;")"</f>
        <v>Energy Balance – Annual Overview (Diesel generator)</v>
      </c>
      <c r="B25" s="60"/>
      <c r="C25" s="84"/>
      <c r="D25" s="84"/>
      <c r="E25" s="84"/>
      <c r="F25" s="84"/>
      <c r="G25" s="107"/>
    </row>
    <row r="26" spans="1:7" x14ac:dyDescent="0.35">
      <c r="A26" s="49" t="s">
        <v>73</v>
      </c>
      <c r="B26" s="83" t="s">
        <v>74</v>
      </c>
      <c r="C26" s="81" t="s">
        <v>75</v>
      </c>
      <c r="D26" s="82" t="s">
        <v>76</v>
      </c>
      <c r="E26" s="82" t="s">
        <v>77</v>
      </c>
      <c r="F26" s="82" t="s">
        <v>78</v>
      </c>
      <c r="G26" s="108" t="s">
        <v>79</v>
      </c>
    </row>
    <row r="27" spans="1:7" x14ac:dyDescent="0.35">
      <c r="A27" s="50" t="s">
        <v>1</v>
      </c>
      <c r="B27" s="85">
        <v>31</v>
      </c>
      <c r="C27" s="160">
        <f>Input!C66*(Input!$C$31*Input!$C$32/1000)*Input!$C$33</f>
        <v>7.5238805931200012E-2</v>
      </c>
      <c r="D27" s="151">
        <f>C27-('Power Budget'!$E$19*B27)/1000</f>
        <v>-20.4066347940688</v>
      </c>
      <c r="E27" s="152">
        <f>IF(D27&lt;0, ABS(D27)/(IF($B$9="Diesel generator",Input!$C$53,Input!$C$45)/1000), 0)</f>
        <v>3.1394822760105847</v>
      </c>
      <c r="F27" s="152">
        <f>IF(D27&lt;0, ABS(D27)*IF($B$9="Diesel generator",Input!$C$54,Input!$C$46), 0)</f>
        <v>10.2033173970344</v>
      </c>
      <c r="G27" s="153">
        <f>F27*IF(Results!$B$9="Diesel generator", Input!$C$55, Input!$C$47)</f>
        <v>184.68004488632266</v>
      </c>
    </row>
    <row r="28" spans="1:7" x14ac:dyDescent="0.35">
      <c r="A28" s="43" t="s">
        <v>2</v>
      </c>
      <c r="B28" s="86">
        <v>28</v>
      </c>
      <c r="C28" s="160">
        <f>Input!C67*(Input!$C$31*Input!$C$32/1000)*Input!$C$33</f>
        <v>0.69415426010520009</v>
      </c>
      <c r="D28" s="151">
        <f>C28-('Power Budget'!$E$19*B28)/1000</f>
        <v>-17.805602539894799</v>
      </c>
      <c r="E28" s="152">
        <f>IF(D28&lt;0, ABS(D28)/(IF($B$9="Diesel generator",Input!$C$53,Input!$C$45)/1000), 0)</f>
        <v>2.7393234676761229</v>
      </c>
      <c r="F28" s="152">
        <f>IF(D28&lt;0, ABS(D28)*IF($B$9="Diesel generator",Input!$C$54,Input!$C$46), 0)</f>
        <v>8.9028012699473997</v>
      </c>
      <c r="G28" s="153">
        <f>F28*IF(Results!$B$9="Diesel generator", Input!$C$55, Input!$C$47)</f>
        <v>161.14070298604796</v>
      </c>
    </row>
    <row r="29" spans="1:7" x14ac:dyDescent="0.35">
      <c r="A29" s="50" t="s">
        <v>3</v>
      </c>
      <c r="B29" s="85">
        <v>31</v>
      </c>
      <c r="C29" s="160">
        <f>Input!C68*(Input!$C$31*Input!$C$32/1000)*Input!$C$33</f>
        <v>14.581834909321998</v>
      </c>
      <c r="D29" s="151">
        <f>C29-('Power Budget'!$E$19*B29)/1000</f>
        <v>-5.9000386906780022</v>
      </c>
      <c r="E29" s="152">
        <f>IF(D29&lt;0, ABS(D29)/(IF($B$9="Diesel generator",Input!$C$53,Input!$C$45)/1000), 0)</f>
        <v>0.90769826010430799</v>
      </c>
      <c r="F29" s="152">
        <f>IF(D29&lt;0, ABS(D29)*IF($B$9="Diesel generator",Input!$C$54,Input!$C$46), 0)</f>
        <v>2.9500193453390011</v>
      </c>
      <c r="G29" s="153">
        <f>F29*IF(Results!$B$9="Diesel generator", Input!$C$55, Input!$C$47)</f>
        <v>53.395350150635927</v>
      </c>
    </row>
    <row r="30" spans="1:7" x14ac:dyDescent="0.35">
      <c r="A30" s="43" t="s">
        <v>4</v>
      </c>
      <c r="B30" s="86">
        <v>30</v>
      </c>
      <c r="C30" s="160">
        <f>Input!C69*(Input!$C$31*Input!$C$32/1000)*Input!$C$33</f>
        <v>41.778320364811201</v>
      </c>
      <c r="D30" s="151">
        <f>C30-('Power Budget'!$E$19*B30)/1000</f>
        <v>21.957152364811201</v>
      </c>
      <c r="E30" s="152">
        <f>IF(D30&lt;0, ABS(D30)/(IF($B$9="Diesel generator",Input!$C$53,Input!$C$45)/1000), 0)</f>
        <v>0</v>
      </c>
      <c r="F30" s="152">
        <f>IF(D30&lt;0, ABS(D30)*IF($B$9="Diesel generator",Input!$C$54,Input!$C$46), 0)</f>
        <v>0</v>
      </c>
      <c r="G30" s="153">
        <f>F30*IF(Results!$B$9="Diesel generator", Input!$C$55, Input!$C$47)</f>
        <v>0</v>
      </c>
    </row>
    <row r="31" spans="1:7" x14ac:dyDescent="0.35">
      <c r="A31" s="50" t="s">
        <v>80</v>
      </c>
      <c r="B31" s="85">
        <v>31</v>
      </c>
      <c r="C31" s="160">
        <f>Input!C70*(Input!$C$31*Input!$C$32/1000)*Input!$C$33</f>
        <v>53.960659011439191</v>
      </c>
      <c r="D31" s="151">
        <f>C31-('Power Budget'!$E$19*B31)/1000</f>
        <v>33.478785411439191</v>
      </c>
      <c r="E31" s="152">
        <f>IF(D31&lt;0, ABS(D31)/(IF($B$9="Diesel generator",Input!$C$53,Input!$C$45)/1000), 0)</f>
        <v>0</v>
      </c>
      <c r="F31" s="152">
        <f>IF(D31&lt;0, ABS(D31)*IF($B$9="Diesel generator",Input!$C$54,Input!$C$46), 0)</f>
        <v>0</v>
      </c>
      <c r="G31" s="153">
        <f>F31*IF(Results!$B$9="Diesel generator", Input!$C$55, Input!$C$47)</f>
        <v>0</v>
      </c>
    </row>
    <row r="32" spans="1:7" x14ac:dyDescent="0.35">
      <c r="A32" s="43" t="s">
        <v>5</v>
      </c>
      <c r="B32" s="86">
        <v>30</v>
      </c>
      <c r="C32" s="160">
        <f>Input!C71*(Input!$C$31*Input!$C$32/1000)*Input!$C$33</f>
        <v>53.925582212861606</v>
      </c>
      <c r="D32" s="151">
        <f>C32-('Power Budget'!$E$19*B32)/1000</f>
        <v>34.104414212861606</v>
      </c>
      <c r="E32" s="152">
        <f>IF(D32&lt;0, ABS(D32)/(IF($B$9="Diesel generator",Input!$C$53,Input!$C$45)/1000), 0)</f>
        <v>0</v>
      </c>
      <c r="F32" s="152">
        <f>IF(D32&lt;0, ABS(D32)*IF($B$9="Diesel generator",Input!$C$54,Input!$C$46), 0)</f>
        <v>0</v>
      </c>
      <c r="G32" s="153">
        <f>F32*IF(Results!$B$9="Diesel generator", Input!$C$55, Input!$C$47)</f>
        <v>0</v>
      </c>
    </row>
    <row r="33" spans="1:7" x14ac:dyDescent="0.35">
      <c r="A33" s="50" t="s">
        <v>6</v>
      </c>
      <c r="B33" s="85">
        <v>31</v>
      </c>
      <c r="C33" s="160">
        <f>Input!C72*(Input!$C$31*Input!$C$32/1000)*Input!$C$33</f>
        <v>54.830749931195605</v>
      </c>
      <c r="D33" s="151">
        <f>C33-('Power Budget'!$E$19*B33)/1000</f>
        <v>34.348876331195605</v>
      </c>
      <c r="E33" s="152">
        <f>IF(D33&lt;0, ABS(D33)/(IF($B$9="Diesel generator",Input!$C$53,Input!$C$45)/1000), 0)</f>
        <v>0</v>
      </c>
      <c r="F33" s="152">
        <f>IF(D33&lt;0, ABS(D33)*IF($B$9="Diesel generator",Input!$C$54,Input!$C$46), 0)</f>
        <v>0</v>
      </c>
      <c r="G33" s="153">
        <f>F33*IF(Results!$B$9="Diesel generator", Input!$C$55, Input!$C$47)</f>
        <v>0</v>
      </c>
    </row>
    <row r="34" spans="1:7" x14ac:dyDescent="0.35">
      <c r="A34" s="43" t="s">
        <v>7</v>
      </c>
      <c r="B34" s="86">
        <v>31</v>
      </c>
      <c r="C34" s="160">
        <f>Input!C73*(Input!$C$31*Input!$C$32/1000)*Input!$C$33</f>
        <v>48.564171066686399</v>
      </c>
      <c r="D34" s="151">
        <f>C34-('Power Budget'!$E$19*B34)/1000</f>
        <v>28.082297466686398</v>
      </c>
      <c r="E34" s="152">
        <f>IF(D34&lt;0, ABS(D34)/(IF($B$9="Diesel generator",Input!$C$53,Input!$C$45)/1000), 0)</f>
        <v>0</v>
      </c>
      <c r="F34" s="152">
        <f>IF(D34&lt;0, ABS(D34)*IF($B$9="Diesel generator",Input!$C$54,Input!$C$46), 0)</f>
        <v>0</v>
      </c>
      <c r="G34" s="153">
        <f>F34*IF(Results!$B$9="Diesel generator", Input!$C$55, Input!$C$47)</f>
        <v>0</v>
      </c>
    </row>
    <row r="35" spans="1:7" x14ac:dyDescent="0.35">
      <c r="A35" s="50" t="s">
        <v>8</v>
      </c>
      <c r="B35" s="85">
        <v>30</v>
      </c>
      <c r="C35" s="160">
        <f>Input!C74*(Input!$C$31*Input!$C$32/1000)*Input!$C$33</f>
        <v>25.645589303301605</v>
      </c>
      <c r="D35" s="151">
        <f>C35-('Power Budget'!$E$19*B35)/1000</f>
        <v>5.8244213033016052</v>
      </c>
      <c r="E35" s="152">
        <f>IF(D35&lt;0, ABS(D35)/(IF($B$9="Diesel generator",Input!$C$53,Input!$C$45)/1000), 0)</f>
        <v>0</v>
      </c>
      <c r="F35" s="152">
        <f>IF(D35&lt;0, ABS(D35)*IF($B$9="Diesel generator",Input!$C$54,Input!$C$46), 0)</f>
        <v>0</v>
      </c>
      <c r="G35" s="153">
        <f>F35*IF(Results!$B$9="Diesel generator", Input!$C$55, Input!$C$47)</f>
        <v>0</v>
      </c>
    </row>
    <row r="36" spans="1:7" x14ac:dyDescent="0.35">
      <c r="A36" s="43" t="s">
        <v>81</v>
      </c>
      <c r="B36" s="86">
        <v>31</v>
      </c>
      <c r="C36" s="160">
        <f>Input!C75*(Input!$C$31*Input!$C$32/1000)*Input!$C$33</f>
        <v>2.0774385187631998</v>
      </c>
      <c r="D36" s="151">
        <f>C36-('Power Budget'!$E$19*B36)/1000</f>
        <v>-18.404435081236802</v>
      </c>
      <c r="E36" s="152">
        <f>IF(D36&lt;0, ABS(D36)/(IF($B$9="Diesel generator",Input!$C$53,Input!$C$45)/1000), 0)</f>
        <v>2.8314515509595077</v>
      </c>
      <c r="F36" s="152">
        <f>IF(D36&lt;0, ABS(D36)*IF($B$9="Diesel generator",Input!$C$54,Input!$C$46), 0)</f>
        <v>9.2022175406184008</v>
      </c>
      <c r="G36" s="153">
        <f>F36*IF(Results!$B$9="Diesel generator", Input!$C$55, Input!$C$47)</f>
        <v>166.56013748519308</v>
      </c>
    </row>
    <row r="37" spans="1:7" x14ac:dyDescent="0.35">
      <c r="A37" s="51" t="s">
        <v>9</v>
      </c>
      <c r="B37" s="87">
        <v>30</v>
      </c>
      <c r="C37" s="160">
        <f>Input!C76*(Input!$C$31*Input!$C$32/1000)*Input!$C$33</f>
        <v>0.17662160512119998</v>
      </c>
      <c r="D37" s="151">
        <f>C37-('Power Budget'!$E$19*B37)/1000</f>
        <v>-19.644546394878802</v>
      </c>
      <c r="E37" s="152">
        <f>IF(D37&lt;0, ABS(D37)/(IF($B$9="Diesel generator",Input!$C$53,Input!$C$45)/1000), 0)</f>
        <v>3.0222379069044312</v>
      </c>
      <c r="F37" s="152">
        <f>IF(D37&lt;0, ABS(D37)*IF($B$9="Diesel generator",Input!$C$54,Input!$C$46), 0)</f>
        <v>9.8222731974394009</v>
      </c>
      <c r="G37" s="153">
        <f>F37*IF(Results!$B$9="Diesel generator", Input!$C$55, Input!$C$47)</f>
        <v>177.78314487365316</v>
      </c>
    </row>
    <row r="38" spans="1:7" x14ac:dyDescent="0.35">
      <c r="A38" s="44" t="s">
        <v>82</v>
      </c>
      <c r="B38" s="88">
        <v>31</v>
      </c>
      <c r="C38" s="160">
        <f>Input!C77*(Input!$C$31*Input!$C$32/1000)*Input!$C$33</f>
        <v>1.1566628952800001E-2</v>
      </c>
      <c r="D38" s="151">
        <f>C38-('Power Budget'!$E$19*B38)/1000</f>
        <v>-20.470306971047201</v>
      </c>
      <c r="E38" s="152">
        <f>IF(D38&lt;0, ABS(D38)/(IF($B$9="Diesel generator",Input!$C$53,Input!$C$45)/1000), 0)</f>
        <v>3.1492779955457233</v>
      </c>
      <c r="F38" s="152">
        <f>IF(D38&lt;0, ABS(D38)*IF($B$9="Diesel generator",Input!$C$54,Input!$C$46), 0)</f>
        <v>10.2351534855236</v>
      </c>
      <c r="G38" s="153">
        <f>F38*IF(Results!$B$9="Diesel generator", Input!$C$55, Input!$C$47)</f>
        <v>185.25627808797719</v>
      </c>
    </row>
    <row r="39" spans="1:7" x14ac:dyDescent="0.35">
      <c r="A39" s="65" t="s">
        <v>10</v>
      </c>
      <c r="B39" s="89"/>
      <c r="C39" s="92">
        <f>SUM(C27:C38)</f>
        <v>296.3219266184912</v>
      </c>
      <c r="D39" s="93">
        <f>SUM(D27:D38)</f>
        <v>55.16438261849121</v>
      </c>
      <c r="E39" s="132">
        <f>SUM(E27:E38)</f>
        <v>15.789471457200678</v>
      </c>
      <c r="F39" s="139">
        <f>SUM(F27:F38)</f>
        <v>51.315782235902205</v>
      </c>
      <c r="G39" s="133">
        <f>SUM(G27:G38)</f>
        <v>928.81565846982983</v>
      </c>
    </row>
    <row r="40" spans="1:7" x14ac:dyDescent="0.35">
      <c r="A40" s="52"/>
      <c r="B40" s="52"/>
      <c r="C40" s="52"/>
      <c r="D40" s="52"/>
      <c r="E40" s="52"/>
      <c r="F40" s="52"/>
      <c r="G40" s="52"/>
    </row>
    <row r="41" spans="1:7" x14ac:dyDescent="0.35">
      <c r="A41" s="97" t="s">
        <v>83</v>
      </c>
      <c r="B41" s="94"/>
      <c r="C41" s="94"/>
      <c r="D41" s="94"/>
      <c r="E41" s="94"/>
      <c r="F41" s="95"/>
      <c r="G41" s="109"/>
    </row>
    <row r="42" spans="1:7" x14ac:dyDescent="0.35">
      <c r="A42" s="61" t="s">
        <v>11</v>
      </c>
      <c r="B42" s="82" t="s">
        <v>37</v>
      </c>
      <c r="C42" s="82" t="s">
        <v>84</v>
      </c>
      <c r="D42" s="156" t="s">
        <v>97</v>
      </c>
      <c r="E42" s="82" t="s">
        <v>38</v>
      </c>
      <c r="F42" s="96"/>
      <c r="G42" s="110"/>
    </row>
    <row r="43" spans="1:7" x14ac:dyDescent="0.35">
      <c r="A43" s="98" t="s">
        <v>85</v>
      </c>
      <c r="B43" s="99" t="s">
        <v>24</v>
      </c>
      <c r="C43" s="154">
        <f>Input!C44</f>
        <v>88000</v>
      </c>
      <c r="D43" s="154">
        <f>Input!C52</f>
        <v>35000</v>
      </c>
      <c r="E43" s="157" t="s">
        <v>92</v>
      </c>
      <c r="F43" s="104"/>
      <c r="G43" s="111"/>
    </row>
    <row r="44" spans="1:7" x14ac:dyDescent="0.35">
      <c r="A44" s="100" t="s">
        <v>86</v>
      </c>
      <c r="B44" s="101" t="s">
        <v>90</v>
      </c>
      <c r="C44" s="154" cm="1">
        <f t="array" ref="C44">SUMPRODUCT((D27:D38&lt;0)*ABS(D27:D38)*Input!$C$46*Input!$C$47)</f>
        <v>6927.6306018467967</v>
      </c>
      <c r="D44" s="154" cm="1">
        <f t="array" ref="D44">SUMPRODUCT((D27:D38&lt;0)*ABS(D27:D38)*Input!$C$54*Input!$C$55)</f>
        <v>928.81565846982983</v>
      </c>
      <c r="E44" s="158" t="s">
        <v>93</v>
      </c>
      <c r="F44" s="105"/>
      <c r="G44" s="112"/>
    </row>
    <row r="45" spans="1:7" x14ac:dyDescent="0.35">
      <c r="A45" s="98" t="s">
        <v>87</v>
      </c>
      <c r="B45" s="99" t="s">
        <v>90</v>
      </c>
      <c r="C45" s="154">
        <f>Input!C49</f>
        <v>100</v>
      </c>
      <c r="D45" s="154">
        <f>Input!C57</f>
        <v>25000</v>
      </c>
      <c r="E45" s="157" t="s">
        <v>94</v>
      </c>
      <c r="F45" s="104"/>
      <c r="G45" s="111"/>
    </row>
    <row r="46" spans="1:7" x14ac:dyDescent="0.35">
      <c r="A46" s="100" t="s">
        <v>88</v>
      </c>
      <c r="B46" s="101" t="s">
        <v>91</v>
      </c>
      <c r="C46" s="155">
        <f>Input!C62</f>
        <v>10</v>
      </c>
      <c r="D46" s="155">
        <f>Input!C62</f>
        <v>10</v>
      </c>
      <c r="E46" s="158" t="s">
        <v>95</v>
      </c>
      <c r="F46" s="105"/>
      <c r="G46" s="112"/>
    </row>
    <row r="47" spans="1:7" x14ac:dyDescent="0.35">
      <c r="A47" s="102" t="s">
        <v>89</v>
      </c>
      <c r="B47" s="90" t="s">
        <v>24</v>
      </c>
      <c r="C47" s="134" cm="1">
        <f t="array" ref="C47">_xlfn.LET(_xlpm.timer_fc,SUMPRODUCT((D27:D38&lt;0)*ABS(D27:D38))/(Input!C45/1000),C43+C46*(C44+C45)+MAX(0,FLOOR(C46/IFERROR(Input!C48/_xlpm.timer_fc,C46),1)-1)*C43)</f>
        <v>158276.30601846796</v>
      </c>
      <c r="D47" s="134" cm="1">
        <f t="array" ref="D47">_xlfn.LET(_xlpm.timer_di,SUMPRODUCT((D27:D38&lt;0)*ABS(D27:D38))/(Input!C53/1000),D43+D46*(D44+D45)+MAX(0,FLOOR(D46/IFERROR(Input!C56/_xlpm.timer_di,D46),1)-1)*D43)</f>
        <v>294288.1565846983</v>
      </c>
      <c r="E47" s="159" t="s">
        <v>96</v>
      </c>
      <c r="F47" s="106"/>
      <c r="G47" s="113"/>
    </row>
  </sheetData>
  <mergeCells count="2">
    <mergeCell ref="A3:C3"/>
    <mergeCell ref="A16:C16"/>
  </mergeCells>
  <phoneticPr fontId="9" type="noConversion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</vt:lpstr>
      <vt:lpstr>Power Budget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2026-03-27T21:23:47Z</dcterms:created>
  <dcterms:modified xsi:type="dcterms:W3CDTF">2026-03-27T21:24:03Z</dcterms:modified>
</cp:coreProperties>
</file>